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gao/Desktop/"/>
    </mc:Choice>
  </mc:AlternateContent>
  <xr:revisionPtr revIDLastSave="0" documentId="13_ncr:1_{3A644404-D8B8-7546-97E6-9FE6CF59E5DA}" xr6:coauthVersionLast="47" xr6:coauthVersionMax="47" xr10:uidLastSave="{00000000-0000-0000-0000-000000000000}"/>
  <bookViews>
    <workbookView xWindow="1120" yWindow="1060" windowWidth="28040" windowHeight="17440" activeTab="2" xr2:uid="{B6569987-6A97-AE40-BF08-5C987D449D6C}"/>
  </bookViews>
  <sheets>
    <sheet name="DBP without Spin Orbit" sheetId="4" r:id="rId1"/>
    <sheet name="amarouche" sheetId="3" r:id="rId2"/>
    <sheet name="Wadt" sheetId="2" r:id="rId3"/>
  </sheets>
  <definedNames>
    <definedName name="ExternalData_1" localSheetId="2" hidden="1">Wadt!$A$1:$B$30</definedName>
    <definedName name="ExternalData_2" localSheetId="1" hidden="1">amarouche!$A$1:$B$51</definedName>
    <definedName name="ExternalData_2" localSheetId="2" hidden="1">Wadt!$F$1:$G$51</definedName>
    <definedName name="ExternalData_3" localSheetId="0" hidden="1">'DBP without Spin Orbit'!$A$1:$B$30</definedName>
    <definedName name="ExternalData_3" localSheetId="2" hidden="1">Wadt!$K$1:$L$30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2" l="1"/>
  <c r="AA4" i="2"/>
  <c r="C2" i="2" s="1"/>
  <c r="AA3" i="2"/>
  <c r="N2" i="2" s="1"/>
  <c r="N9" i="2" l="1"/>
  <c r="M26" i="2"/>
  <c r="M18" i="2"/>
  <c r="M10" i="2"/>
  <c r="M2" i="2"/>
  <c r="N23" i="2"/>
  <c r="N15" i="2"/>
  <c r="M29" i="2"/>
  <c r="M21" i="2"/>
  <c r="M13" i="2"/>
  <c r="M5" i="2"/>
  <c r="N26" i="2"/>
  <c r="N18" i="2"/>
  <c r="N10" i="2"/>
  <c r="M28" i="2"/>
  <c r="M20" i="2"/>
  <c r="M12" i="2"/>
  <c r="M4" i="2"/>
  <c r="N25" i="2"/>
  <c r="N17" i="2"/>
  <c r="M27" i="2"/>
  <c r="M19" i="2"/>
  <c r="M11" i="2"/>
  <c r="M3" i="2"/>
  <c r="N24" i="2"/>
  <c r="N16" i="2"/>
  <c r="N8" i="2"/>
  <c r="N7" i="2"/>
  <c r="N6" i="2"/>
  <c r="M25" i="2"/>
  <c r="M17" i="2"/>
  <c r="M9" i="2"/>
  <c r="N30" i="2"/>
  <c r="N22" i="2"/>
  <c r="N14" i="2"/>
  <c r="N5" i="2"/>
  <c r="M23" i="2"/>
  <c r="M15" i="2"/>
  <c r="M7" i="2"/>
  <c r="N28" i="2"/>
  <c r="N20" i="2"/>
  <c r="N12" i="2"/>
  <c r="N4" i="2"/>
  <c r="M24" i="2"/>
  <c r="M16" i="2"/>
  <c r="M8" i="2"/>
  <c r="N29" i="2"/>
  <c r="N21" i="2"/>
  <c r="N13" i="2"/>
  <c r="M30" i="2"/>
  <c r="M22" i="2"/>
  <c r="M14" i="2"/>
  <c r="M6" i="2"/>
  <c r="N27" i="2"/>
  <c r="N19" i="2"/>
  <c r="N11" i="2"/>
  <c r="N3" i="2"/>
  <c r="I2" i="2"/>
  <c r="H9" i="2"/>
  <c r="I49" i="2"/>
  <c r="I9" i="2"/>
  <c r="D6" i="2"/>
  <c r="I23" i="2"/>
  <c r="H41" i="2"/>
  <c r="D27" i="2"/>
  <c r="D19" i="2"/>
  <c r="D11" i="2"/>
  <c r="D3" i="2"/>
  <c r="I45" i="2"/>
  <c r="I37" i="2"/>
  <c r="I29" i="2"/>
  <c r="I21" i="2"/>
  <c r="I13" i="2"/>
  <c r="I5" i="2"/>
  <c r="I41" i="2"/>
  <c r="I17" i="2"/>
  <c r="D30" i="2"/>
  <c r="I15" i="2"/>
  <c r="H33" i="2"/>
  <c r="D26" i="2"/>
  <c r="D18" i="2"/>
  <c r="D10" i="2"/>
  <c r="D2" i="2"/>
  <c r="I44" i="2"/>
  <c r="I36" i="2"/>
  <c r="I28" i="2"/>
  <c r="I20" i="2"/>
  <c r="I12" i="2"/>
  <c r="I4" i="2"/>
  <c r="D15" i="2"/>
  <c r="I33" i="2"/>
  <c r="D14" i="2"/>
  <c r="I48" i="2"/>
  <c r="I32" i="2"/>
  <c r="I16" i="2"/>
  <c r="D29" i="2"/>
  <c r="D13" i="2"/>
  <c r="I31" i="2"/>
  <c r="D20" i="2"/>
  <c r="D4" i="2"/>
  <c r="I38" i="2"/>
  <c r="I30" i="2"/>
  <c r="I22" i="2"/>
  <c r="I6" i="2"/>
  <c r="H25" i="2"/>
  <c r="D25" i="2"/>
  <c r="D17" i="2"/>
  <c r="D9" i="2"/>
  <c r="I51" i="2"/>
  <c r="I43" i="2"/>
  <c r="I35" i="2"/>
  <c r="I27" i="2"/>
  <c r="I19" i="2"/>
  <c r="I11" i="2"/>
  <c r="I3" i="2"/>
  <c r="D23" i="2"/>
  <c r="D7" i="2"/>
  <c r="I25" i="2"/>
  <c r="D22" i="2"/>
  <c r="I40" i="2"/>
  <c r="I24" i="2"/>
  <c r="I8" i="2"/>
  <c r="D21" i="2"/>
  <c r="D5" i="2"/>
  <c r="I47" i="2"/>
  <c r="I39" i="2"/>
  <c r="I7" i="2"/>
  <c r="H49" i="2"/>
  <c r="D28" i="2"/>
  <c r="D12" i="2"/>
  <c r="I46" i="2"/>
  <c r="I14" i="2"/>
  <c r="H17" i="2"/>
  <c r="D24" i="2"/>
  <c r="D16" i="2"/>
  <c r="D8" i="2"/>
  <c r="I50" i="2"/>
  <c r="I42" i="2"/>
  <c r="I34" i="2"/>
  <c r="I26" i="2"/>
  <c r="I18" i="2"/>
  <c r="I10" i="2"/>
  <c r="H40" i="2"/>
  <c r="H38" i="2"/>
  <c r="H30" i="2"/>
  <c r="H22" i="2"/>
  <c r="H14" i="2"/>
  <c r="H6" i="2"/>
  <c r="H48" i="2"/>
  <c r="H37" i="2"/>
  <c r="H5" i="2"/>
  <c r="H4" i="2"/>
  <c r="H32" i="2"/>
  <c r="H16" i="2"/>
  <c r="H39" i="2"/>
  <c r="H23" i="2"/>
  <c r="H7" i="2"/>
  <c r="H46" i="2"/>
  <c r="H45" i="2"/>
  <c r="H29" i="2"/>
  <c r="H13" i="2"/>
  <c r="C9" i="2"/>
  <c r="H44" i="2"/>
  <c r="H36" i="2"/>
  <c r="H28" i="2"/>
  <c r="H20" i="2"/>
  <c r="H12" i="2"/>
  <c r="H51" i="2"/>
  <c r="H43" i="2"/>
  <c r="H35" i="2"/>
  <c r="H27" i="2"/>
  <c r="H19" i="2"/>
  <c r="H11" i="2"/>
  <c r="H2" i="2"/>
  <c r="H24" i="2"/>
  <c r="H8" i="2"/>
  <c r="H47" i="2"/>
  <c r="H31" i="2"/>
  <c r="H15" i="2"/>
  <c r="C25" i="2"/>
  <c r="C17" i="2"/>
  <c r="H21" i="2"/>
  <c r="H50" i="2"/>
  <c r="H42" i="2"/>
  <c r="H34" i="2"/>
  <c r="H26" i="2"/>
  <c r="H18" i="2"/>
  <c r="H10" i="2"/>
  <c r="H3" i="2"/>
  <c r="C24" i="2"/>
  <c r="C16" i="2"/>
  <c r="C23" i="2"/>
  <c r="C7" i="2"/>
  <c r="C30" i="2"/>
  <c r="C22" i="2"/>
  <c r="C14" i="2"/>
  <c r="C6" i="2"/>
  <c r="C29" i="2"/>
  <c r="C21" i="2"/>
  <c r="C13" i="2"/>
  <c r="C5" i="2"/>
  <c r="C28" i="2"/>
  <c r="C20" i="2"/>
  <c r="C12" i="2"/>
  <c r="C4" i="2"/>
  <c r="C27" i="2"/>
  <c r="C19" i="2"/>
  <c r="C11" i="2"/>
  <c r="C3" i="2"/>
  <c r="C8" i="2"/>
  <c r="C15" i="2"/>
  <c r="C26" i="2"/>
  <c r="C18" i="2"/>
  <c r="C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538F4-135E-1B4B-8EC2-D378F8EE322F}" keepAlive="1" name="Query - amarouche" description="Connection to the 'amarouche' query in the workbook." type="5" refreshedVersion="8" background="1" saveData="1">
    <dbPr connection="Provider=Microsoft.Mashup.OleDb.1;Data Source=$Workbook$;Location=amarouche;Extended Properties=&quot;&quot;" command="SELECT * FROM [amarouche]"/>
  </connection>
  <connection id="2" xr16:uid="{50D1AE01-D112-1248-88B1-16A71411373C}" keepAlive="1" name="Query - amarouche (2)" description="Connection to the 'amarouche (2)' query in the workbook." type="5" refreshedVersion="8" background="1" saveData="1">
    <dbPr connection="Provider=Microsoft.Mashup.OleDb.1;Data Source=$Workbook$;Location=&quot;amarouche (2)&quot;;Extended Properties=&quot;&quot;" command="SELECT * FROM [amarouche (2)]"/>
  </connection>
  <connection id="3" xr16:uid="{5C9A8F6A-F87B-C74E-B215-AF18FFCD8A7D}" keepAlive="1" name="Query - DBP without Spin Orbit" description="Connection to the 'DBP without Spin Orbit' query in the workbook." type="5" refreshedVersion="8" background="1" saveData="1">
    <dbPr connection="Provider=Microsoft.Mashup.OleDb.1;Data Source=$Workbook$;Location=&quot;DBP without Spin Orbit&quot;;Extended Properties=&quot;&quot;" command="SELECT * FROM [DBP without Spin Orbit]"/>
  </connection>
  <connection id="4" xr16:uid="{A4288986-4F2F-844F-8D2E-DA3AD4804598}" keepAlive="1" name="Query - DBP without Spin Orbit (2)" description="Connection to the 'DBP without Spin Orbit (2)' query in the workbook." type="5" refreshedVersion="8" background="1" saveData="1">
    <dbPr connection="Provider=Microsoft.Mashup.OleDb.1;Data Source=$Workbook$;Location=&quot;DBP without Spin Orbit (2)&quot;;Extended Properties=&quot;&quot;" command="SELECT * FROM [DBP without Spin Orbit (2)]"/>
  </connection>
  <connection id="5" xr16:uid="{146E7B42-5ABA-2C44-B397-F0762799123C}" keepAlive="1" name="Query - Wadt" description="Connection to the 'Wadt' query in the workbook." type="5" refreshedVersion="8" background="1" saveData="1">
    <dbPr connection="Provider=Microsoft.Mashup.OleDb.1;Data Source=$Workbook$;Location=Wadt;Extended Properties=&quot;&quot;" command="SELECT * FROM [Wadt]"/>
  </connection>
</connections>
</file>

<file path=xl/sharedStrings.xml><?xml version="1.0" encoding="utf-8"?>
<sst xmlns="http://schemas.openxmlformats.org/spreadsheetml/2006/main" count="17" uniqueCount="15">
  <si>
    <t>Column1</t>
  </si>
  <si>
    <t>Column2</t>
  </si>
  <si>
    <t>Wadt Energy</t>
  </si>
  <si>
    <t>Wadt Cross Section</t>
  </si>
  <si>
    <t>Wadt Speed</t>
  </si>
  <si>
    <t>Mass</t>
  </si>
  <si>
    <t>Amarouche Energy</t>
  </si>
  <si>
    <t>Amarouche Cross Section</t>
  </si>
  <si>
    <t>Wadt CS</t>
  </si>
  <si>
    <t>Amarouche CS</t>
  </si>
  <si>
    <t>Amarouche Speed</t>
  </si>
  <si>
    <t>DBP w/o Spin Orbit Energy</t>
  </si>
  <si>
    <t>DBP w/o Spin Orbit Cross Section</t>
  </si>
  <si>
    <t>DBP w/o Spin Orbit CS</t>
  </si>
  <si>
    <t>DBP w/o Spin Orbit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</si>
</sst>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8FF5E12-1749-5B48-A322-C39EDAC8D0E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72DD98F-D73A-0843-855A-A805562693B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0B81981-5415-8D4C-BFD6-FE3D21B78D71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4" dataBound="0" tableColumnId="4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1C7074C-1BF8-EB49-8D1E-AD4940820E80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8D38BED-68B2-8044-A6E1-0F35DB2793F7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E2F9D4-E1F3-4A41-B197-7E2AB9839B2E}" name="DBP_without_Spin_Orbit" displayName="DBP_without_Spin_Orbit" ref="A1:B30" tableType="queryTable" totalsRowShown="0">
  <autoFilter ref="A1:B30" xr:uid="{4BE2F9D4-E1F3-4A41-B197-7E2AB9839B2E}"/>
  <tableColumns count="2">
    <tableColumn id="1" xr3:uid="{8012B44C-75B7-D545-A17A-8D65E1417583}" uniqueName="1" name="Column1" queryTableFieldId="1"/>
    <tableColumn id="2" xr3:uid="{BEB38187-0AF6-C545-BF2C-464E4DD72D25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3227B-4C87-3B41-8881-71FCB0DA48C4}" name="amarouche" displayName="amarouche" ref="A1:B51" tableType="queryTable" totalsRowShown="0">
  <autoFilter ref="A1:B51" xr:uid="{A133227B-4C87-3B41-8881-71FCB0DA48C4}"/>
  <tableColumns count="2">
    <tableColumn id="1" xr3:uid="{62F3C2E8-F6A5-8343-B040-26B24601C43A}" uniqueName="1" name="Column1" queryTableFieldId="1"/>
    <tableColumn id="2" xr3:uid="{3B8E418D-FB03-8346-92FE-19EB3EF6004A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EDD97-4EDA-884C-BB4D-912E283AF4CC}" name="Wadt" displayName="Wadt" ref="A1:D30" tableType="queryTable" totalsRowShown="0">
  <autoFilter ref="A1:D30" xr:uid="{54AEDD97-4EDA-884C-BB4D-912E283AF4CC}"/>
  <tableColumns count="4">
    <tableColumn id="1" xr3:uid="{BEFC612F-6E8D-7048-BCD2-AFA367191589}" uniqueName="1" name="Wadt Energy" queryTableFieldId="1"/>
    <tableColumn id="2" xr3:uid="{AB88D0F6-4E12-1944-BCBE-7BDAC470B220}" uniqueName="2" name="Wadt Cross Section" queryTableFieldId="2"/>
    <tableColumn id="4" xr3:uid="{4CD48104-3568-D14E-ACE6-DDB8F57CFD3F}" uniqueName="4" name="Wadt CS" queryTableFieldId="4" dataDxfId="5">
      <calculatedColumnFormula>Wadt[[#This Row],[Wadt Cross Section]]*$AA$4</calculatedColumnFormula>
    </tableColumn>
    <tableColumn id="3" xr3:uid="{A7DC8E10-CE81-C646-839A-4BCB64F93E84}" uniqueName="3" name="Wadt Speed" queryTableFieldId="3" dataDxfId="4">
      <calculatedColumnFormula>SQRT(2*A2*$AA$3/$AA$2)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8B016F-F261-A144-AD66-5AD23FB0ED53}" name="amarouche4" displayName="amarouche4" ref="F1:I51" tableType="queryTable" totalsRowShown="0">
  <autoFilter ref="F1:I51" xr:uid="{438B016F-F261-A144-AD66-5AD23FB0ED53}"/>
  <tableColumns count="4">
    <tableColumn id="1" xr3:uid="{EF7EBB03-53C9-B749-A370-56E6F5C1476E}" uniqueName="1" name="Amarouche Energy" queryTableFieldId="1"/>
    <tableColumn id="2" xr3:uid="{41B62402-B1E2-0D4D-B4AB-28E14222D48E}" uniqueName="2" name="Amarouche Cross Section" queryTableFieldId="2"/>
    <tableColumn id="3" xr3:uid="{F3C18425-DDD7-6A46-B3A7-FBE3628485F5}" uniqueName="3" name="Amarouche CS" queryTableFieldId="3" dataDxfId="3">
      <calculatedColumnFormula>amarouche4[[#This Row],[Amarouche Cross Section]]*$AA$4</calculatedColumnFormula>
    </tableColumn>
    <tableColumn id="4" xr3:uid="{D895DE95-CFD9-8945-8596-BF4BE6E229C5}" uniqueName="4" name="Amarouche Speed" queryTableFieldId="4" dataDxfId="2">
      <calculatedColumnFormula>SQRT(2*F2*$AA$3/$AA$2)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7B2DE-D477-1A4D-877E-AF1AED3BB3F8}" name="DBP_without_Spin_Orbit6" displayName="DBP_without_Spin_Orbit6" ref="K1:N30" tableType="queryTable" totalsRowShown="0">
  <autoFilter ref="K1:N30" xr:uid="{9E47B2DE-D477-1A4D-877E-AF1AED3BB3F8}"/>
  <tableColumns count="4">
    <tableColumn id="1" xr3:uid="{2703DD34-42A5-654A-96E0-0357B9D41B1F}" uniqueName="1" name="DBP w/o Spin Orbit Energy" queryTableFieldId="1"/>
    <tableColumn id="2" xr3:uid="{E2A91EC3-80FA-344A-A2DE-AB5804E58D1B}" uniqueName="2" name="DBP w/o Spin Orbit Cross Section" queryTableFieldId="2"/>
    <tableColumn id="3" xr3:uid="{CFEE7441-ED05-5942-B9B6-E8741843587D}" uniqueName="3" name="DBP w/o Spin Orbit CS" queryTableFieldId="3" dataDxfId="1">
      <calculatedColumnFormula>DBP_without_Spin_Orbit6[[#This Row],[DBP w/o Spin Orbit Cross Section]]*$AA$4</calculatedColumnFormula>
    </tableColumn>
    <tableColumn id="4" xr3:uid="{394DF290-7A40-764B-B316-B1235ECC844A}" uniqueName="4" name="DBP w/o Spin Orbit Speed" queryTableFieldId="4" dataDxfId="0">
      <calculatedColumnFormula>SQRT(2*K2*$AA$3/$AA$2)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8B6E-143C-9B4F-8919-196A8D2A1EF8}">
  <dimension ref="A1:B30"/>
  <sheetViews>
    <sheetView workbookViewId="0">
      <selection sqref="A1:B30"/>
    </sheetView>
  </sheetViews>
  <sheetFormatPr baseColWidth="10" defaultRowHeight="16" x14ac:dyDescent="0.2"/>
  <cols>
    <col min="1" max="2" width="1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1.0783360240642621</v>
      </c>
      <c r="B2">
        <v>105.35502488851134</v>
      </c>
    </row>
    <row r="3" spans="1:2" x14ac:dyDescent="0.2">
      <c r="A3">
        <v>1.4240815294288605</v>
      </c>
      <c r="B3">
        <v>103.14983516021822</v>
      </c>
    </row>
    <row r="4" spans="1:2" x14ac:dyDescent="0.2">
      <c r="A4">
        <v>1.7585779425829768</v>
      </c>
      <c r="B4">
        <v>100.83866857204004</v>
      </c>
    </row>
    <row r="5" spans="1:2" x14ac:dyDescent="0.2">
      <c r="A5">
        <v>2.1716427860557155</v>
      </c>
      <c r="B5">
        <v>99.293755593441716</v>
      </c>
    </row>
    <row r="6" spans="1:2" x14ac:dyDescent="0.2">
      <c r="A6">
        <v>2.6765920703598991</v>
      </c>
      <c r="B6">
        <v>98.373617776357548</v>
      </c>
    </row>
    <row r="7" spans="1:2" x14ac:dyDescent="0.2">
      <c r="A7">
        <v>3.2800243856025086</v>
      </c>
      <c r="B7">
        <v>96.8111849619563</v>
      </c>
    </row>
    <row r="8" spans="1:2" x14ac:dyDescent="0.2">
      <c r="A8">
        <v>4.2088481079393629</v>
      </c>
      <c r="B8">
        <v>93.815886932396864</v>
      </c>
    </row>
    <row r="9" spans="1:2" x14ac:dyDescent="0.2">
      <c r="A9">
        <v>5.1057000084108166</v>
      </c>
      <c r="B9">
        <v>92.60731520836525</v>
      </c>
    </row>
    <row r="10" spans="1:2" x14ac:dyDescent="0.2">
      <c r="A10">
        <v>6.1851801798775341</v>
      </c>
      <c r="B10">
        <v>90.368735510519301</v>
      </c>
    </row>
    <row r="11" spans="1:2" x14ac:dyDescent="0.2">
      <c r="A11">
        <v>7.8313654459124376</v>
      </c>
      <c r="B11">
        <v>89.099626319950602</v>
      </c>
    </row>
    <row r="12" spans="1:2" x14ac:dyDescent="0.2">
      <c r="A12">
        <v>9.5098959582235363</v>
      </c>
      <c r="B12">
        <v>87.845615202571011</v>
      </c>
    </row>
    <row r="13" spans="1:2" x14ac:dyDescent="0.2">
      <c r="A13">
        <v>12.109607405697311</v>
      </c>
      <c r="B13">
        <v>86.215603993270463</v>
      </c>
    </row>
    <row r="14" spans="1:2" x14ac:dyDescent="0.2">
      <c r="A14">
        <v>15.302150848979117</v>
      </c>
      <c r="B14">
        <v>83.947408844168976</v>
      </c>
    </row>
    <row r="15" spans="1:2" x14ac:dyDescent="0.2">
      <c r="A15">
        <v>18.698118531263773</v>
      </c>
      <c r="B15">
        <v>83.092262689164983</v>
      </c>
    </row>
    <row r="16" spans="1:2" x14ac:dyDescent="0.2">
      <c r="A16">
        <v>23.992974304634487</v>
      </c>
      <c r="B16">
        <v>81.331667664156754</v>
      </c>
    </row>
    <row r="17" spans="1:2" x14ac:dyDescent="0.2">
      <c r="A17">
        <v>30.566564506840606</v>
      </c>
      <c r="B17">
        <v>79.045180618691546</v>
      </c>
    </row>
    <row r="18" spans="1:2" x14ac:dyDescent="0.2">
      <c r="A18">
        <v>38.018680270123951</v>
      </c>
      <c r="B18">
        <v>77.536099168684501</v>
      </c>
    </row>
    <row r="19" spans="1:2" x14ac:dyDescent="0.2">
      <c r="A19">
        <v>48.203342198909823</v>
      </c>
      <c r="B19">
        <v>76.095612330041405</v>
      </c>
    </row>
    <row r="20" spans="1:2" x14ac:dyDescent="0.2">
      <c r="A20">
        <v>60.388076829088092</v>
      </c>
      <c r="B20">
        <v>74.426476786851794</v>
      </c>
    </row>
    <row r="21" spans="1:2" x14ac:dyDescent="0.2">
      <c r="A21">
        <v>74.037940080077078</v>
      </c>
      <c r="B21">
        <v>72.825935855026145</v>
      </c>
    </row>
    <row r="22" spans="1:2" x14ac:dyDescent="0.2">
      <c r="A22">
        <v>90.679939357462359</v>
      </c>
      <c r="B22">
        <v>71.362584145928395</v>
      </c>
    </row>
    <row r="23" spans="1:2" x14ac:dyDescent="0.2">
      <c r="A23">
        <v>115.40577114411767</v>
      </c>
      <c r="B23">
        <v>70.474120608261927</v>
      </c>
    </row>
    <row r="24" spans="1:2" x14ac:dyDescent="0.2">
      <c r="A24">
        <v>144.87519831520569</v>
      </c>
      <c r="B24">
        <v>68.99225924212945</v>
      </c>
    </row>
    <row r="25" spans="1:2" x14ac:dyDescent="0.2">
      <c r="A25">
        <v>177.76417545333129</v>
      </c>
      <c r="B25">
        <v>67.460312921667764</v>
      </c>
    </row>
    <row r="26" spans="1:2" x14ac:dyDescent="0.2">
      <c r="A26">
        <v>220.92638152942499</v>
      </c>
      <c r="B26">
        <v>65.848883956292269</v>
      </c>
    </row>
    <row r="27" spans="1:2" x14ac:dyDescent="0.2">
      <c r="A27">
        <v>281.68076472023643</v>
      </c>
      <c r="B27">
        <v>64.249068893369937</v>
      </c>
    </row>
    <row r="28" spans="1:2" x14ac:dyDescent="0.2">
      <c r="A28">
        <v>343.42414181099696</v>
      </c>
      <c r="B28">
        <v>62.673933373160565</v>
      </c>
    </row>
    <row r="29" spans="1:2" x14ac:dyDescent="0.2">
      <c r="A29">
        <v>468.5673913626087</v>
      </c>
      <c r="B29">
        <v>61.631295280428432</v>
      </c>
    </row>
    <row r="30" spans="1:2" x14ac:dyDescent="0.2">
      <c r="A30">
        <v>566.66802187934923</v>
      </c>
      <c r="B30">
        <v>60.204527364058137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8049-E652-B848-83A4-57585AC652B1}">
  <dimension ref="A1:B51"/>
  <sheetViews>
    <sheetView workbookViewId="0">
      <selection sqref="A1:B51"/>
    </sheetView>
  </sheetViews>
  <sheetFormatPr baseColWidth="10" defaultRowHeight="16" x14ac:dyDescent="0.2"/>
  <cols>
    <col min="1" max="2" width="1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0.86660271216622153</v>
      </c>
      <c r="B2">
        <v>109.79517190929042</v>
      </c>
    </row>
    <row r="3" spans="1:2" x14ac:dyDescent="0.2">
      <c r="A3">
        <v>0.97652966895973448</v>
      </c>
      <c r="B3">
        <v>107.88880760790052</v>
      </c>
    </row>
    <row r="4" spans="1:2" x14ac:dyDescent="0.2">
      <c r="A4">
        <v>1.1198471311991489</v>
      </c>
      <c r="B4">
        <v>106.16825164594</v>
      </c>
    </row>
    <row r="5" spans="1:2" x14ac:dyDescent="0.2">
      <c r="A5">
        <v>1.2740716589220562</v>
      </c>
      <c r="B5">
        <v>103.88295537673739</v>
      </c>
    </row>
    <row r="6" spans="1:2" x14ac:dyDescent="0.2">
      <c r="A6">
        <v>1.4610569832516123</v>
      </c>
      <c r="B6">
        <v>102.16239941477687</v>
      </c>
    </row>
    <row r="7" spans="1:2" x14ac:dyDescent="0.2">
      <c r="A7">
        <v>1.6594750943770602</v>
      </c>
      <c r="B7">
        <v>100.82077542062909</v>
      </c>
    </row>
    <row r="8" spans="1:2" x14ac:dyDescent="0.2">
      <c r="A8">
        <v>1.9023820183253131</v>
      </c>
      <c r="B8">
        <v>99.288953913679592</v>
      </c>
    </row>
    <row r="9" spans="1:2" x14ac:dyDescent="0.2">
      <c r="A9">
        <v>2.1600062658393915</v>
      </c>
      <c r="B9">
        <v>98.136064374542798</v>
      </c>
    </row>
    <row r="10" spans="1:2" x14ac:dyDescent="0.2">
      <c r="A10">
        <v>2.4774304036240791</v>
      </c>
      <c r="B10">
        <v>96.321141185076797</v>
      </c>
    </row>
    <row r="11" spans="1:2" x14ac:dyDescent="0.2">
      <c r="A11">
        <v>2.8152988713569864</v>
      </c>
      <c r="B11">
        <v>94.696415508412585</v>
      </c>
    </row>
    <row r="12" spans="1:2" x14ac:dyDescent="0.2">
      <c r="A12">
        <v>3.1987065267450134</v>
      </c>
      <c r="B12">
        <v>93.166057059253831</v>
      </c>
    </row>
    <row r="13" spans="1:2" x14ac:dyDescent="0.2">
      <c r="A13">
        <v>3.6656845081850906</v>
      </c>
      <c r="B13">
        <v>91.822970007315291</v>
      </c>
    </row>
    <row r="14" spans="1:2" x14ac:dyDescent="0.2">
      <c r="A14">
        <v>4.2008364322255751</v>
      </c>
      <c r="B14">
        <v>90.479882955376752</v>
      </c>
    </row>
    <row r="15" spans="1:2" x14ac:dyDescent="0.2">
      <c r="A15">
        <v>4.7729365611088275</v>
      </c>
      <c r="B15">
        <v>88.949524506218012</v>
      </c>
    </row>
    <row r="16" spans="1:2" x14ac:dyDescent="0.2">
      <c r="A16">
        <v>5.4678934598773239</v>
      </c>
      <c r="B16">
        <v>87.795171909290417</v>
      </c>
    </row>
    <row r="17" spans="1:2" x14ac:dyDescent="0.2">
      <c r="A17">
        <v>6.2146437767630944</v>
      </c>
      <c r="B17">
        <v>86.076079005120704</v>
      </c>
    </row>
    <row r="18" spans="1:2" x14ac:dyDescent="0.2">
      <c r="A18">
        <v>7.0609986784620515</v>
      </c>
      <c r="B18">
        <v>84.545720555961964</v>
      </c>
    </row>
    <row r="19" spans="1:2" x14ac:dyDescent="0.2">
      <c r="A19">
        <v>8.0199140640356479</v>
      </c>
      <c r="B19">
        <v>83.204096561814197</v>
      </c>
    </row>
    <row r="20" spans="1:2" x14ac:dyDescent="0.2">
      <c r="A20">
        <v>9.1059863176482967</v>
      </c>
      <c r="B20">
        <v>82.051207022677417</v>
      </c>
    </row>
    <row r="21" spans="1:2" x14ac:dyDescent="0.2">
      <c r="A21">
        <v>10.395891567921462</v>
      </c>
      <c r="B21">
        <v>80.331382589612303</v>
      </c>
    </row>
    <row r="22" spans="1:2" x14ac:dyDescent="0.2">
      <c r="A22">
        <v>11.860524012174164</v>
      </c>
      <c r="B22">
        <v>78.989027066569136</v>
      </c>
    </row>
    <row r="23" spans="1:2" x14ac:dyDescent="0.2">
      <c r="A23">
        <v>13.587459386181118</v>
      </c>
      <c r="B23">
        <v>77.834674469641556</v>
      </c>
    </row>
    <row r="24" spans="1:2" x14ac:dyDescent="0.2">
      <c r="A24">
        <v>15.432697496196351</v>
      </c>
      <c r="B24">
        <v>76.493050475493789</v>
      </c>
    </row>
    <row r="25" spans="1:2" x14ac:dyDescent="0.2">
      <c r="A25">
        <v>17.679754303734864</v>
      </c>
      <c r="B25">
        <v>75.338697878566222</v>
      </c>
    </row>
    <row r="26" spans="1:2" x14ac:dyDescent="0.2">
      <c r="A26">
        <v>20.094278695194511</v>
      </c>
      <c r="B26">
        <v>73.619604974396509</v>
      </c>
    </row>
    <row r="27" spans="1:2" x14ac:dyDescent="0.2">
      <c r="A27">
        <v>22.815484729692681</v>
      </c>
      <c r="B27">
        <v>72.466715435259701</v>
      </c>
    </row>
    <row r="28" spans="1:2" x14ac:dyDescent="0.2">
      <c r="A28">
        <v>26.025476110628581</v>
      </c>
      <c r="B28">
        <v>71.21872713972202</v>
      </c>
    </row>
    <row r="29" spans="1:2" x14ac:dyDescent="0.2">
      <c r="A29">
        <v>29.549896355674104</v>
      </c>
      <c r="B29">
        <v>70.06583760058524</v>
      </c>
    </row>
    <row r="30" spans="1:2" x14ac:dyDescent="0.2">
      <c r="A30">
        <v>33.70737596801024</v>
      </c>
      <c r="B30">
        <v>68.817849305047574</v>
      </c>
    </row>
    <row r="31" spans="1:2" x14ac:dyDescent="0.2">
      <c r="A31">
        <v>38.272093929903768</v>
      </c>
      <c r="B31">
        <v>67.664959765910766</v>
      </c>
    </row>
    <row r="32" spans="1:2" x14ac:dyDescent="0.2">
      <c r="A32">
        <v>43.844649811669697</v>
      </c>
      <c r="B32">
        <v>66.510607168983185</v>
      </c>
    </row>
    <row r="33" spans="1:2" x14ac:dyDescent="0.2">
      <c r="A33">
        <v>50.228590069536871</v>
      </c>
      <c r="B33">
        <v>65.356254572055633</v>
      </c>
    </row>
    <row r="34" spans="1:2" x14ac:dyDescent="0.2">
      <c r="A34">
        <v>57.011433424014207</v>
      </c>
      <c r="B34">
        <v>64.392099487929784</v>
      </c>
    </row>
    <row r="35" spans="1:2" x14ac:dyDescent="0.2">
      <c r="A35">
        <v>64.74293629065798</v>
      </c>
      <c r="B35">
        <v>63.144842721287503</v>
      </c>
    </row>
    <row r="36" spans="1:2" x14ac:dyDescent="0.2">
      <c r="A36">
        <v>74.157250807938652</v>
      </c>
      <c r="B36">
        <v>62.084857351865423</v>
      </c>
    </row>
    <row r="37" spans="1:2" x14ac:dyDescent="0.2">
      <c r="A37">
        <v>84.143057369901484</v>
      </c>
      <c r="B37">
        <v>61.309436722750561</v>
      </c>
    </row>
    <row r="38" spans="1:2" x14ac:dyDescent="0.2">
      <c r="A38">
        <v>95.537872727511669</v>
      </c>
      <c r="B38">
        <v>60.156547183613782</v>
      </c>
    </row>
    <row r="39" spans="1:2" x14ac:dyDescent="0.2">
      <c r="A39">
        <v>109.44853399350315</v>
      </c>
      <c r="B39">
        <v>59.002194586686201</v>
      </c>
    </row>
    <row r="40" spans="1:2" x14ac:dyDescent="0.2">
      <c r="A40">
        <v>124.1865653665934</v>
      </c>
      <c r="B40">
        <v>58.226773957571339</v>
      </c>
    </row>
    <row r="41" spans="1:2" x14ac:dyDescent="0.2">
      <c r="A41">
        <v>142.85690720860094</v>
      </c>
      <c r="B41">
        <v>57.260424286759374</v>
      </c>
    </row>
    <row r="42" spans="1:2" x14ac:dyDescent="0.2">
      <c r="A42">
        <v>162.98340235490878</v>
      </c>
      <c r="B42">
        <v>55.918068763716171</v>
      </c>
    </row>
    <row r="43" spans="1:2" x14ac:dyDescent="0.2">
      <c r="A43">
        <v>185.11728160175988</v>
      </c>
      <c r="B43">
        <v>54.576444769568425</v>
      </c>
    </row>
    <row r="44" spans="1:2" x14ac:dyDescent="0.2">
      <c r="A44">
        <v>211.85680999980207</v>
      </c>
      <c r="B44">
        <v>53.98829553767375</v>
      </c>
    </row>
    <row r="45" spans="1:2" x14ac:dyDescent="0.2">
      <c r="A45">
        <v>241.4602508074862</v>
      </c>
      <c r="B45">
        <v>53.212143379663523</v>
      </c>
    </row>
    <row r="46" spans="1:2" x14ac:dyDescent="0.2">
      <c r="A46">
        <v>275.29300214150481</v>
      </c>
      <c r="B46">
        <v>52.247256766642288</v>
      </c>
    </row>
    <row r="47" spans="1:2" x14ac:dyDescent="0.2">
      <c r="A47">
        <v>312.46842967240968</v>
      </c>
      <c r="B47">
        <v>51.283101682516488</v>
      </c>
    </row>
    <row r="48" spans="1:2" x14ac:dyDescent="0.2">
      <c r="A48">
        <v>357.72386560598784</v>
      </c>
      <c r="B48">
        <v>50.506217995610861</v>
      </c>
    </row>
    <row r="49" spans="1:2" x14ac:dyDescent="0.2">
      <c r="A49">
        <v>405.89395397388921</v>
      </c>
      <c r="B49">
        <v>49.73079736649602</v>
      </c>
    </row>
    <row r="50" spans="1:2" x14ac:dyDescent="0.2">
      <c r="A50">
        <v>464.75867564139071</v>
      </c>
      <c r="B50">
        <v>48.859546452084885</v>
      </c>
    </row>
    <row r="51" spans="1:2" x14ac:dyDescent="0.2">
      <c r="A51">
        <v>527.25295174709481</v>
      </c>
      <c r="B51">
        <v>48.178493050475502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8F78-5934-8648-B80B-2489CDF7F153}">
  <dimension ref="A1:AB51"/>
  <sheetViews>
    <sheetView tabSelected="1" workbookViewId="0">
      <selection activeCell="AA2" sqref="AA2"/>
    </sheetView>
  </sheetViews>
  <sheetFormatPr baseColWidth="10" defaultRowHeight="16" x14ac:dyDescent="0.2"/>
  <cols>
    <col min="1" max="2" width="12.1640625" bestFit="1" customWidth="1"/>
    <col min="3" max="3" width="12.1640625" customWidth="1"/>
  </cols>
  <sheetData>
    <row r="1" spans="1:28" x14ac:dyDescent="0.2">
      <c r="A1" t="s">
        <v>2</v>
      </c>
      <c r="B1" t="s">
        <v>3</v>
      </c>
      <c r="C1" t="s">
        <v>8</v>
      </c>
      <c r="D1" t="s">
        <v>4</v>
      </c>
      <c r="F1" t="s">
        <v>6</v>
      </c>
      <c r="G1" t="s">
        <v>7</v>
      </c>
      <c r="H1" t="s">
        <v>9</v>
      </c>
      <c r="I1" t="s">
        <v>10</v>
      </c>
      <c r="K1" t="s">
        <v>11</v>
      </c>
      <c r="L1" t="s">
        <v>12</v>
      </c>
      <c r="M1" t="s">
        <v>13</v>
      </c>
      <c r="N1" t="s">
        <v>14</v>
      </c>
      <c r="AA1" s="1" t="s">
        <v>5</v>
      </c>
    </row>
    <row r="2" spans="1:28" x14ac:dyDescent="0.2">
      <c r="A2">
        <v>1.1128551277640475</v>
      </c>
      <c r="B2">
        <v>95.873725273315557</v>
      </c>
      <c r="C2" s="3">
        <f>Wadt[[#This Row],[Wadt Cross Section]]*$AA$4</f>
        <v>9.5873725273315543E-19</v>
      </c>
      <c r="D2">
        <f>SQRT(2*A2*$AA$3/$AA$2)</f>
        <v>1278.1035996337571</v>
      </c>
      <c r="F2">
        <v>0.86660271216622153</v>
      </c>
      <c r="G2">
        <v>109.79517190929042</v>
      </c>
      <c r="H2" s="3">
        <f>amarouche4[[#This Row],[Amarouche Cross Section]]*$AA$4</f>
        <v>1.0979517190929042E-18</v>
      </c>
      <c r="I2" s="3">
        <f t="shared" ref="I2:I33" si="0">SQRT(2*F2*$AA$3/$AA$2)</f>
        <v>1127.8640767649438</v>
      </c>
      <c r="K2">
        <v>1.0783360240642621</v>
      </c>
      <c r="L2">
        <v>105.35502488851134</v>
      </c>
      <c r="M2" s="3">
        <f>DBP_without_Spin_Orbit6[[#This Row],[DBP w/o Spin Orbit Cross Section]]*$AA$4</f>
        <v>1.0535502488851134E-18</v>
      </c>
      <c r="N2">
        <f t="shared" ref="N2:N30" si="1">SQRT(2*K2*$AA$3/$AA$2)</f>
        <v>1258.1250205896786</v>
      </c>
      <c r="AA2" s="1">
        <f>2.18*10^(-25)</f>
        <v>2.1799999999999998E-25</v>
      </c>
      <c r="AB2" s="1"/>
    </row>
    <row r="3" spans="1:28" x14ac:dyDescent="0.2">
      <c r="A3">
        <v>1.4104899644149405</v>
      </c>
      <c r="B3">
        <v>93.975941025579431</v>
      </c>
      <c r="C3" s="3">
        <f>Wadt[[#This Row],[Wadt Cross Section]]*$AA$4</f>
        <v>9.397594102557943E-19</v>
      </c>
      <c r="D3">
        <f t="shared" ref="D3:D30" si="2">SQRT(2*A3*$AA$3/$AA$2)</f>
        <v>1438.9037439878659</v>
      </c>
      <c r="F3">
        <v>0.97652966895973448</v>
      </c>
      <c r="G3">
        <v>107.88880760790052</v>
      </c>
      <c r="H3" s="3">
        <f>amarouche4[[#This Row],[Amarouche Cross Section]]*$AA$4</f>
        <v>1.078888076079005E-18</v>
      </c>
      <c r="I3" s="3">
        <f t="shared" si="0"/>
        <v>1197.262730639949</v>
      </c>
      <c r="K3">
        <v>1.4240815294288605</v>
      </c>
      <c r="L3">
        <v>103.14983516021822</v>
      </c>
      <c r="M3" s="3">
        <f>DBP_without_Spin_Orbit6[[#This Row],[DBP w/o Spin Orbit Cross Section]]*$AA$4</f>
        <v>1.0314983516021821E-18</v>
      </c>
      <c r="N3">
        <f t="shared" si="1"/>
        <v>1445.819803980997</v>
      </c>
      <c r="AA3" s="1">
        <f>1.6*10^(-19)</f>
        <v>1.6000000000000002E-19</v>
      </c>
      <c r="AB3" s="1"/>
    </row>
    <row r="4" spans="1:28" x14ac:dyDescent="0.2">
      <c r="A4">
        <v>1.7585779425829768</v>
      </c>
      <c r="B4">
        <v>92.611670421785178</v>
      </c>
      <c r="C4" s="3">
        <f>Wadt[[#This Row],[Wadt Cross Section]]*$AA$4</f>
        <v>9.2611670421785179E-19</v>
      </c>
      <c r="D4">
        <f t="shared" si="2"/>
        <v>1606.6732134446943</v>
      </c>
      <c r="F4">
        <v>1.1198471311991489</v>
      </c>
      <c r="G4">
        <v>106.16825164594</v>
      </c>
      <c r="H4" s="3">
        <f>amarouche4[[#This Row],[Amarouche Cross Section]]*$AA$4</f>
        <v>1.0616825164594E-18</v>
      </c>
      <c r="I4" s="3">
        <f t="shared" si="0"/>
        <v>1282.1124376113235</v>
      </c>
      <c r="K4">
        <v>1.7585779425829768</v>
      </c>
      <c r="L4">
        <v>100.83866857204004</v>
      </c>
      <c r="M4" s="3">
        <f>DBP_without_Spin_Orbit6[[#This Row],[DBP w/o Spin Orbit Cross Section]]*$AA$4</f>
        <v>1.0083866857204003E-18</v>
      </c>
      <c r="N4">
        <f t="shared" si="1"/>
        <v>1606.6732134446943</v>
      </c>
      <c r="AA4" s="2">
        <f>10^(-20)</f>
        <v>9.9999999999999995E-21</v>
      </c>
      <c r="AB4" s="1"/>
    </row>
    <row r="5" spans="1:28" x14ac:dyDescent="0.2">
      <c r="A5">
        <v>2.3448076068351891</v>
      </c>
      <c r="B5">
        <v>90.550783431472524</v>
      </c>
      <c r="C5" s="3">
        <f>Wadt[[#This Row],[Wadt Cross Section]]*$AA$4</f>
        <v>9.0550783431472523E-19</v>
      </c>
      <c r="D5">
        <f t="shared" si="2"/>
        <v>1855.2410686693368</v>
      </c>
      <c r="F5">
        <v>1.2740716589220562</v>
      </c>
      <c r="G5">
        <v>103.88295537673739</v>
      </c>
      <c r="H5" s="3">
        <f>amarouche4[[#This Row],[Amarouche Cross Section]]*$AA$4</f>
        <v>1.0388295537673738E-18</v>
      </c>
      <c r="I5" s="3">
        <f t="shared" si="0"/>
        <v>1367.5514361543369</v>
      </c>
      <c r="K5">
        <v>2.1716427860557155</v>
      </c>
      <c r="L5">
        <v>99.293755593441716</v>
      </c>
      <c r="M5" s="3">
        <f>DBP_without_Spin_Orbit6[[#This Row],[DBP w/o Spin Orbit Cross Section]]*$AA$4</f>
        <v>9.9293755593441718E-19</v>
      </c>
      <c r="N5">
        <f t="shared" si="1"/>
        <v>1785.4222273708933</v>
      </c>
      <c r="AB5" s="2"/>
    </row>
    <row r="6" spans="1:28" x14ac:dyDescent="0.2">
      <c r="A6">
        <v>2.9290838619385173</v>
      </c>
      <c r="B6">
        <v>88.849637069646406</v>
      </c>
      <c r="C6" s="3">
        <f>Wadt[[#This Row],[Wadt Cross Section]]*$AA$4</f>
        <v>8.8849637069646406E-19</v>
      </c>
      <c r="D6">
        <f t="shared" si="2"/>
        <v>2073.541087458274</v>
      </c>
      <c r="F6">
        <v>1.4610569832516123</v>
      </c>
      <c r="G6">
        <v>102.16239941477687</v>
      </c>
      <c r="H6" s="3">
        <f>amarouche4[[#This Row],[Amarouche Cross Section]]*$AA$4</f>
        <v>1.0216239941477686E-18</v>
      </c>
      <c r="I6" s="3">
        <f t="shared" si="0"/>
        <v>1464.4694606250018</v>
      </c>
      <c r="K6">
        <v>2.6765920703598991</v>
      </c>
      <c r="L6">
        <v>98.373617776357548</v>
      </c>
      <c r="M6" s="3">
        <f>DBP_without_Spin_Orbit6[[#This Row],[DBP w/o Spin Orbit Cross Section]]*$AA$4</f>
        <v>9.8373617776357534E-19</v>
      </c>
      <c r="N6">
        <f t="shared" si="1"/>
        <v>1982.156020247066</v>
      </c>
    </row>
    <row r="7" spans="1:28" x14ac:dyDescent="0.2">
      <c r="A7">
        <v>3.7753879428935693</v>
      </c>
      <c r="B7">
        <v>87.032642030850042</v>
      </c>
      <c r="C7" s="3">
        <f>Wadt[[#This Row],[Wadt Cross Section]]*$AA$4</f>
        <v>8.7032642030850028E-19</v>
      </c>
      <c r="D7">
        <f t="shared" si="2"/>
        <v>2354.1142413077951</v>
      </c>
      <c r="F7">
        <v>1.6594750943770602</v>
      </c>
      <c r="G7">
        <v>100.82077542062909</v>
      </c>
      <c r="H7" s="3">
        <f>amarouche4[[#This Row],[Amarouche Cross Section]]*$AA$4</f>
        <v>1.0082077542062909E-18</v>
      </c>
      <c r="I7" s="3">
        <f t="shared" si="0"/>
        <v>1560.7455731283437</v>
      </c>
      <c r="K7">
        <v>3.2800243856025086</v>
      </c>
      <c r="L7">
        <v>96.8111849619563</v>
      </c>
      <c r="M7" s="3">
        <f>DBP_without_Spin_Orbit6[[#This Row],[DBP w/o Spin Orbit Cross Section]]*$AA$4</f>
        <v>9.6811184961956292E-19</v>
      </c>
      <c r="N7">
        <f t="shared" si="1"/>
        <v>2194.2458145026503</v>
      </c>
    </row>
    <row r="8" spans="1:28" x14ac:dyDescent="0.2">
      <c r="A8">
        <v>4.6029389531782332</v>
      </c>
      <c r="B8">
        <v>85.752209285389512</v>
      </c>
      <c r="C8" s="3">
        <f>Wadt[[#This Row],[Wadt Cross Section]]*$AA$4</f>
        <v>8.5752209285389504E-19</v>
      </c>
      <c r="D8">
        <f t="shared" si="2"/>
        <v>2599.3475407672636</v>
      </c>
      <c r="F8">
        <v>1.9023820183253131</v>
      </c>
      <c r="G8">
        <v>99.288953913679592</v>
      </c>
      <c r="H8" s="3">
        <f>amarouche4[[#This Row],[Amarouche Cross Section]]*$AA$4</f>
        <v>9.9288953913679587E-19</v>
      </c>
      <c r="I8" s="3">
        <f t="shared" si="0"/>
        <v>1671.0737166112942</v>
      </c>
      <c r="K8">
        <v>4.2088481079393629</v>
      </c>
      <c r="L8">
        <v>93.815886932396864</v>
      </c>
      <c r="M8" s="3">
        <f>DBP_without_Spin_Orbit6[[#This Row],[DBP w/o Spin Orbit Cross Section]]*$AA$4</f>
        <v>9.3815886932396859E-19</v>
      </c>
      <c r="N8">
        <f t="shared" si="1"/>
        <v>2485.5835658915712</v>
      </c>
    </row>
    <row r="9" spans="1:28" x14ac:dyDescent="0.2">
      <c r="A9">
        <v>5.4789421244533552</v>
      </c>
      <c r="B9">
        <v>84.441290045989462</v>
      </c>
      <c r="C9" s="3">
        <f>Wadt[[#This Row],[Wadt Cross Section]]*$AA$4</f>
        <v>8.4441290045989454E-19</v>
      </c>
      <c r="D9">
        <f t="shared" si="2"/>
        <v>2835.9273355304076</v>
      </c>
      <c r="F9">
        <v>2.1600062658393915</v>
      </c>
      <c r="G9">
        <v>98.136064374542798</v>
      </c>
      <c r="H9" s="3">
        <f>amarouche4[[#This Row],[Amarouche Cross Section]]*$AA$4</f>
        <v>9.8136064374542801E-19</v>
      </c>
      <c r="I9" s="3">
        <f t="shared" si="0"/>
        <v>1780.6323032555802</v>
      </c>
      <c r="K9">
        <v>5.1057000084108166</v>
      </c>
      <c r="L9">
        <v>92.60731520836525</v>
      </c>
      <c r="M9" s="3">
        <f>DBP_without_Spin_Orbit6[[#This Row],[DBP w/o Spin Orbit Cross Section]]*$AA$4</f>
        <v>9.260731520836524E-19</v>
      </c>
      <c r="N9">
        <f t="shared" si="1"/>
        <v>2737.627717008525</v>
      </c>
    </row>
    <row r="10" spans="1:28" x14ac:dyDescent="0.2">
      <c r="A10">
        <v>7.2010367278398446</v>
      </c>
      <c r="B10">
        <v>82.634965280071938</v>
      </c>
      <c r="C10" s="3">
        <f>Wadt[[#This Row],[Wadt Cross Section]]*$AA$4</f>
        <v>8.2634965280071933E-19</v>
      </c>
      <c r="D10">
        <f t="shared" si="2"/>
        <v>3251.2042602370066</v>
      </c>
      <c r="F10">
        <v>2.4774304036240791</v>
      </c>
      <c r="G10">
        <v>96.321141185076797</v>
      </c>
      <c r="H10" s="3">
        <f>amarouche4[[#This Row],[Amarouche Cross Section]]*$AA$4</f>
        <v>9.6321141185076786E-19</v>
      </c>
      <c r="I10" s="3">
        <f t="shared" si="0"/>
        <v>1906.9858646273592</v>
      </c>
      <c r="K10">
        <v>6.1851801798775341</v>
      </c>
      <c r="L10">
        <v>90.368735510519301</v>
      </c>
      <c r="M10" s="3">
        <f>DBP_without_Spin_Orbit6[[#This Row],[DBP w/o Spin Orbit Cross Section]]*$AA$4</f>
        <v>9.0368735510519303E-19</v>
      </c>
      <c r="N10">
        <f t="shared" si="1"/>
        <v>3013.1650414128849</v>
      </c>
    </row>
    <row r="11" spans="1:28" x14ac:dyDescent="0.2">
      <c r="A11">
        <v>9.2022974978389254</v>
      </c>
      <c r="B11">
        <v>81.109551779740144</v>
      </c>
      <c r="C11" s="3">
        <f>Wadt[[#This Row],[Wadt Cross Section]]*$AA$4</f>
        <v>8.1109551779740137E-19</v>
      </c>
      <c r="D11">
        <f t="shared" si="2"/>
        <v>3675.3176229892442</v>
      </c>
      <c r="F11">
        <v>2.8152988713569864</v>
      </c>
      <c r="G11">
        <v>94.696415508412585</v>
      </c>
      <c r="H11" s="3">
        <f>amarouche4[[#This Row],[Amarouche Cross Section]]*$AA$4</f>
        <v>9.4696415508412586E-19</v>
      </c>
      <c r="I11" s="3">
        <f t="shared" si="0"/>
        <v>2032.8671383029209</v>
      </c>
      <c r="K11">
        <v>7.8313654459124376</v>
      </c>
      <c r="L11">
        <v>89.099626319950602</v>
      </c>
      <c r="M11" s="3">
        <f>DBP_without_Spin_Orbit6[[#This Row],[DBP w/o Spin Orbit Cross Section]]*$AA$4</f>
        <v>8.9099626319950591E-19</v>
      </c>
      <c r="N11">
        <f t="shared" si="1"/>
        <v>3390.5135755408082</v>
      </c>
    </row>
    <row r="12" spans="1:28" x14ac:dyDescent="0.2">
      <c r="A12">
        <v>11.388722310203892</v>
      </c>
      <c r="B12">
        <v>79.667105095058076</v>
      </c>
      <c r="C12" s="3">
        <f>Wadt[[#This Row],[Wadt Cross Section]]*$AA$4</f>
        <v>7.9667105095058074E-19</v>
      </c>
      <c r="D12">
        <f t="shared" si="2"/>
        <v>4088.6905663168354</v>
      </c>
      <c r="F12">
        <v>3.1987065267450134</v>
      </c>
      <c r="G12">
        <v>93.166057059253831</v>
      </c>
      <c r="H12" s="3">
        <f>amarouche4[[#This Row],[Amarouche Cross Section]]*$AA$4</f>
        <v>9.3166057059253818E-19</v>
      </c>
      <c r="I12" s="3">
        <f t="shared" si="0"/>
        <v>2166.8754071437575</v>
      </c>
      <c r="K12">
        <v>9.5098959582235363</v>
      </c>
      <c r="L12">
        <v>87.845615202571011</v>
      </c>
      <c r="M12" s="3">
        <f>DBP_without_Spin_Orbit6[[#This Row],[DBP w/o Spin Orbit Cross Section]]*$AA$4</f>
        <v>8.7845615202571E-19</v>
      </c>
      <c r="N12">
        <f t="shared" si="1"/>
        <v>3736.2387913045964</v>
      </c>
    </row>
    <row r="13" spans="1:28" x14ac:dyDescent="0.2">
      <c r="A13">
        <v>14.281227472304156</v>
      </c>
      <c r="B13">
        <v>78.094002007778016</v>
      </c>
      <c r="C13" s="3">
        <f>Wadt[[#This Row],[Wadt Cross Section]]*$AA$4</f>
        <v>7.8094002007778013E-19</v>
      </c>
      <c r="D13">
        <f t="shared" si="2"/>
        <v>4578.566335013199</v>
      </c>
      <c r="F13">
        <v>3.6656845081850906</v>
      </c>
      <c r="G13">
        <v>91.822970007315291</v>
      </c>
      <c r="H13" s="3">
        <f>amarouche4[[#This Row],[Amarouche Cross Section]]*$AA$4</f>
        <v>9.1822970007315294E-19</v>
      </c>
      <c r="I13" s="3">
        <f t="shared" si="0"/>
        <v>2319.659737206835</v>
      </c>
      <c r="K13">
        <v>12.109607405697311</v>
      </c>
      <c r="L13">
        <v>86.215603993270463</v>
      </c>
      <c r="M13" s="3">
        <f>DBP_without_Spin_Orbit6[[#This Row],[DBP w/o Spin Orbit Cross Section]]*$AA$4</f>
        <v>8.621560399327046E-19</v>
      </c>
      <c r="N13">
        <f t="shared" si="1"/>
        <v>4216.1084549351754</v>
      </c>
    </row>
    <row r="14" spans="1:28" x14ac:dyDescent="0.2">
      <c r="A14">
        <v>17.610333342451604</v>
      </c>
      <c r="B14">
        <v>76.667234091407721</v>
      </c>
      <c r="C14" s="3">
        <f>Wadt[[#This Row],[Wadt Cross Section]]*$AA$4</f>
        <v>7.6667234091407721E-19</v>
      </c>
      <c r="D14">
        <f t="shared" si="2"/>
        <v>5084.2925362752658</v>
      </c>
      <c r="F14">
        <v>4.2008364322255751</v>
      </c>
      <c r="G14">
        <v>90.479882955376752</v>
      </c>
      <c r="H14" s="3">
        <f>amarouche4[[#This Row],[Amarouche Cross Section]]*$AA$4</f>
        <v>9.0479882955376751E-19</v>
      </c>
      <c r="I14" s="3">
        <f t="shared" si="0"/>
        <v>2483.2167454939899</v>
      </c>
      <c r="K14">
        <v>15.302150848979117</v>
      </c>
      <c r="L14">
        <v>83.947408844168976</v>
      </c>
      <c r="M14" s="3">
        <f>DBP_without_Spin_Orbit6[[#This Row],[DBP w/o Spin Orbit Cross Section]]*$AA$4</f>
        <v>8.394740884416897E-19</v>
      </c>
      <c r="N14">
        <f t="shared" si="1"/>
        <v>4739.3958270902958</v>
      </c>
    </row>
    <row r="15" spans="1:28" x14ac:dyDescent="0.2">
      <c r="A15">
        <v>21.419039610928884</v>
      </c>
      <c r="B15">
        <v>75.386801345947191</v>
      </c>
      <c r="C15" s="3">
        <f>Wadt[[#This Row],[Wadt Cross Section]]*$AA$4</f>
        <v>7.5386801345947188E-19</v>
      </c>
      <c r="D15">
        <f t="shared" si="2"/>
        <v>5607.2089393420056</v>
      </c>
      <c r="F15">
        <v>4.7729365611088275</v>
      </c>
      <c r="G15">
        <v>88.949524506218012</v>
      </c>
      <c r="H15" s="3">
        <f>amarouche4[[#This Row],[Amarouche Cross Section]]*$AA$4</f>
        <v>8.8949524506218003E-19</v>
      </c>
      <c r="I15" s="3">
        <f t="shared" si="0"/>
        <v>2646.9124297569706</v>
      </c>
      <c r="K15">
        <v>18.698118531263773</v>
      </c>
      <c r="L15">
        <v>83.092262689164983</v>
      </c>
      <c r="M15" s="3">
        <f>DBP_without_Spin_Orbit6[[#This Row],[DBP w/o Spin Orbit Cross Section]]*$AA$4</f>
        <v>8.3092262689164981E-19</v>
      </c>
      <c r="N15">
        <f t="shared" si="1"/>
        <v>5238.9674073650303</v>
      </c>
    </row>
    <row r="16" spans="1:28" x14ac:dyDescent="0.2">
      <c r="A16">
        <v>28.016629088170831</v>
      </c>
      <c r="B16">
        <v>73.557611709575013</v>
      </c>
      <c r="C16" s="3">
        <f>Wadt[[#This Row],[Wadt Cross Section]]*$AA$4</f>
        <v>7.3557611709575005E-19</v>
      </c>
      <c r="D16">
        <f t="shared" si="2"/>
        <v>6412.9031726591775</v>
      </c>
      <c r="F16">
        <v>5.4678934598773239</v>
      </c>
      <c r="G16">
        <v>87.795171909290417</v>
      </c>
      <c r="H16" s="3">
        <f>amarouche4[[#This Row],[Amarouche Cross Section]]*$AA$4</f>
        <v>8.7795171909290421E-19</v>
      </c>
      <c r="I16" s="3">
        <f t="shared" si="0"/>
        <v>2833.0664710129422</v>
      </c>
      <c r="K16">
        <v>23.992974304634487</v>
      </c>
      <c r="L16">
        <v>81.331667664156754</v>
      </c>
      <c r="M16" s="3">
        <f>DBP_without_Spin_Orbit6[[#This Row],[DBP w/o Spin Orbit Cross Section]]*$AA$4</f>
        <v>8.1331667664156747E-19</v>
      </c>
      <c r="N16">
        <f t="shared" si="1"/>
        <v>5934.5635771166544</v>
      </c>
    </row>
    <row r="17" spans="1:14" x14ac:dyDescent="0.2">
      <c r="A17">
        <v>33.831765195937848</v>
      </c>
      <c r="B17">
        <v>72.460097927751718</v>
      </c>
      <c r="C17" s="3">
        <f>Wadt[[#This Row],[Wadt Cross Section]]*$AA$4</f>
        <v>7.2460097927751714E-19</v>
      </c>
      <c r="D17">
        <f t="shared" si="2"/>
        <v>7047.0778844591714</v>
      </c>
      <c r="F17">
        <v>6.2146437767630944</v>
      </c>
      <c r="G17">
        <v>86.076079005120704</v>
      </c>
      <c r="H17" s="3">
        <f>amarouche4[[#This Row],[Amarouche Cross Section]]*$AA$4</f>
        <v>8.6076079005120702E-19</v>
      </c>
      <c r="I17" s="3">
        <f t="shared" si="0"/>
        <v>3020.3332404425137</v>
      </c>
      <c r="K17">
        <v>30.566564506840606</v>
      </c>
      <c r="L17">
        <v>79.045180618691546</v>
      </c>
      <c r="M17" s="3">
        <f>DBP_without_Spin_Orbit6[[#This Row],[DBP w/o Spin Orbit Cross Section]]*$AA$4</f>
        <v>7.9045180618691545E-19</v>
      </c>
      <c r="N17">
        <f t="shared" si="1"/>
        <v>6698.3842506737619</v>
      </c>
    </row>
    <row r="18" spans="1:14" x14ac:dyDescent="0.2">
      <c r="A18">
        <v>42.147246575658485</v>
      </c>
      <c r="B18">
        <v>70.722367773198144</v>
      </c>
      <c r="C18" s="3">
        <f>Wadt[[#This Row],[Wadt Cross Section]]*$AA$4</f>
        <v>7.0722367773198143E-19</v>
      </c>
      <c r="D18">
        <f t="shared" si="2"/>
        <v>7865.5907539881246</v>
      </c>
      <c r="F18">
        <v>7.0609986784620515</v>
      </c>
      <c r="G18">
        <v>84.545720555961964</v>
      </c>
      <c r="H18" s="3">
        <f>amarouche4[[#This Row],[Amarouche Cross Section]]*$AA$4</f>
        <v>8.4545720555961963E-19</v>
      </c>
      <c r="I18" s="3">
        <f t="shared" si="0"/>
        <v>3219.4360845231295</v>
      </c>
      <c r="K18">
        <v>38.018680270123951</v>
      </c>
      <c r="L18">
        <v>77.536099168684501</v>
      </c>
      <c r="M18" s="3">
        <f>DBP_without_Spin_Orbit6[[#This Row],[DBP w/o Spin Orbit Cross Section]]*$AA$4</f>
        <v>7.7536099168684492E-19</v>
      </c>
      <c r="N18">
        <f t="shared" si="1"/>
        <v>7470.424157553568</v>
      </c>
    </row>
    <row r="19" spans="1:14" x14ac:dyDescent="0.2">
      <c r="A19">
        <v>52.758954961753219</v>
      </c>
      <c r="B19">
        <v>69.198043076221325</v>
      </c>
      <c r="C19" s="3">
        <f>Wadt[[#This Row],[Wadt Cross Section]]*$AA$4</f>
        <v>6.9198043076221322E-19</v>
      </c>
      <c r="D19">
        <f t="shared" si="2"/>
        <v>8800.2464487386278</v>
      </c>
      <c r="F19">
        <v>8.0199140640356479</v>
      </c>
      <c r="G19">
        <v>83.204096561814197</v>
      </c>
      <c r="H19" s="3">
        <f>amarouche4[[#This Row],[Amarouche Cross Section]]*$AA$4</f>
        <v>8.3204096561814196E-19</v>
      </c>
      <c r="I19" s="3">
        <f t="shared" si="0"/>
        <v>3431.0859679823466</v>
      </c>
      <c r="K19">
        <v>48.203342198909823</v>
      </c>
      <c r="L19">
        <v>76.095612330041405</v>
      </c>
      <c r="M19" s="3">
        <f>DBP_without_Spin_Orbit6[[#This Row],[DBP w/o Spin Orbit Cross Section]]*$AA$4</f>
        <v>7.6095612330041399E-19</v>
      </c>
      <c r="N19">
        <f t="shared" si="1"/>
        <v>8411.7298790458535</v>
      </c>
    </row>
    <row r="20" spans="1:14" x14ac:dyDescent="0.2">
      <c r="A20">
        <v>66.785496099019355</v>
      </c>
      <c r="B20">
        <v>67.749934614093348</v>
      </c>
      <c r="C20" s="3">
        <f>Wadt[[#This Row],[Wadt Cross Section]]*$AA$4</f>
        <v>6.7749934614093344E-19</v>
      </c>
      <c r="D20">
        <f t="shared" si="2"/>
        <v>9901.1997122409266</v>
      </c>
      <c r="F20">
        <v>9.1059863176482967</v>
      </c>
      <c r="G20">
        <v>82.051207022677417</v>
      </c>
      <c r="H20" s="3">
        <f>amarouche4[[#This Row],[Amarouche Cross Section]]*$AA$4</f>
        <v>8.2051207022677409E-19</v>
      </c>
      <c r="I20" s="3">
        <f t="shared" si="0"/>
        <v>3656.0341109460633</v>
      </c>
      <c r="K20">
        <v>60.388076829088092</v>
      </c>
      <c r="L20">
        <v>74.426476786851794</v>
      </c>
      <c r="M20" s="3">
        <f>DBP_without_Spin_Orbit6[[#This Row],[DBP w/o Spin Orbit Cross Section]]*$AA$4</f>
        <v>7.4426476786851786E-19</v>
      </c>
      <c r="N20">
        <f t="shared" si="1"/>
        <v>9415.0437363009423</v>
      </c>
    </row>
    <row r="21" spans="1:14" x14ac:dyDescent="0.2">
      <c r="A21">
        <v>84.676377494217817</v>
      </c>
      <c r="B21">
        <v>67.301783153182186</v>
      </c>
      <c r="C21" s="3">
        <f>Wadt[[#This Row],[Wadt Cross Section]]*$AA$4</f>
        <v>6.7301783153182186E-19</v>
      </c>
      <c r="D21">
        <f t="shared" si="2"/>
        <v>11148.793656333963</v>
      </c>
      <c r="F21">
        <v>10.395891567921462</v>
      </c>
      <c r="G21">
        <v>80.331382589612303</v>
      </c>
      <c r="H21" s="3">
        <f>amarouche4[[#This Row],[Amarouche Cross Section]]*$AA$4</f>
        <v>8.0331382589612302E-19</v>
      </c>
      <c r="I21" s="3">
        <f t="shared" si="0"/>
        <v>3906.4081097454114</v>
      </c>
      <c r="K21">
        <v>74.037940080077078</v>
      </c>
      <c r="L21">
        <v>72.825935855026145</v>
      </c>
      <c r="M21" s="3">
        <f>DBP_without_Spin_Orbit6[[#This Row],[DBP w/o Spin Orbit Cross Section]]*$AA$4</f>
        <v>7.2825935855026141E-19</v>
      </c>
      <c r="N21">
        <f t="shared" si="1"/>
        <v>10424.948204747725</v>
      </c>
    </row>
    <row r="22" spans="1:14" x14ac:dyDescent="0.2">
      <c r="A22">
        <v>96.843441319252506</v>
      </c>
      <c r="B22">
        <v>66.057934200449097</v>
      </c>
      <c r="C22" s="3">
        <f>Wadt[[#This Row],[Wadt Cross Section]]*$AA$4</f>
        <v>6.6057934200449098E-19</v>
      </c>
      <c r="D22">
        <f t="shared" si="2"/>
        <v>11922.898565088868</v>
      </c>
      <c r="F22">
        <v>11.860524012174164</v>
      </c>
      <c r="G22">
        <v>78.989027066569136</v>
      </c>
      <c r="H22" s="3">
        <f>amarouche4[[#This Row],[Amarouche Cross Section]]*$AA$4</f>
        <v>7.8989027066569127E-19</v>
      </c>
      <c r="I22" s="3">
        <f t="shared" si="0"/>
        <v>4172.5224390180174</v>
      </c>
      <c r="K22">
        <v>90.679939357462359</v>
      </c>
      <c r="L22">
        <v>71.362584145928395</v>
      </c>
      <c r="M22" s="3">
        <f>DBP_without_Spin_Orbit6[[#This Row],[DBP w/o Spin Orbit Cross Section]]*$AA$4</f>
        <v>7.1362584145928395E-19</v>
      </c>
      <c r="N22">
        <f t="shared" si="1"/>
        <v>11537.251313209959</v>
      </c>
    </row>
    <row r="23" spans="1:14" x14ac:dyDescent="0.2">
      <c r="A23">
        <v>129.12662690625439</v>
      </c>
      <c r="B23">
        <v>65.112852888323459</v>
      </c>
      <c r="C23" s="3">
        <f>Wadt[[#This Row],[Wadt Cross Section]]*$AA$4</f>
        <v>6.5112852888323454E-19</v>
      </c>
      <c r="D23">
        <f t="shared" si="2"/>
        <v>13767.486064018451</v>
      </c>
      <c r="F23">
        <v>13.587459386181118</v>
      </c>
      <c r="G23">
        <v>77.834674469641556</v>
      </c>
      <c r="H23" s="3">
        <f>amarouche4[[#This Row],[Amarouche Cross Section]]*$AA$4</f>
        <v>7.7834674469641556E-19</v>
      </c>
      <c r="I23" s="3">
        <f t="shared" si="0"/>
        <v>4465.9707244702686</v>
      </c>
      <c r="K23">
        <v>115.40577114411767</v>
      </c>
      <c r="L23">
        <v>70.474120608261927</v>
      </c>
      <c r="M23" s="3">
        <f>DBP_without_Spin_Orbit6[[#This Row],[DBP w/o Spin Orbit Cross Section]]*$AA$4</f>
        <v>7.0474120608261925E-19</v>
      </c>
      <c r="N23">
        <f t="shared" si="1"/>
        <v>13015.489495868125</v>
      </c>
    </row>
    <row r="24" spans="1:14" x14ac:dyDescent="0.2">
      <c r="A24">
        <v>162.93466567778438</v>
      </c>
      <c r="B24">
        <v>63.908636377711787</v>
      </c>
      <c r="C24" s="3">
        <f>Wadt[[#This Row],[Wadt Cross Section]]*$AA$4</f>
        <v>6.3908636377711784E-19</v>
      </c>
      <c r="D24">
        <f t="shared" si="2"/>
        <v>15465.126945926711</v>
      </c>
      <c r="F24">
        <v>15.432697496196351</v>
      </c>
      <c r="G24">
        <v>76.493050475493789</v>
      </c>
      <c r="H24" s="3">
        <f>amarouche4[[#This Row],[Amarouche Cross Section]]*$AA$4</f>
        <v>7.6493050475493788E-19</v>
      </c>
      <c r="I24" s="3">
        <f t="shared" si="0"/>
        <v>4759.5694040372873</v>
      </c>
      <c r="K24">
        <v>144.87519831520569</v>
      </c>
      <c r="L24">
        <v>68.99225924212945</v>
      </c>
      <c r="M24" s="3">
        <f>DBP_without_Spin_Orbit6[[#This Row],[DBP w/o Spin Orbit Cross Section]]*$AA$4</f>
        <v>6.8992259242129446E-19</v>
      </c>
      <c r="N24">
        <f t="shared" si="1"/>
        <v>14582.895513703879</v>
      </c>
    </row>
    <row r="25" spans="1:14" x14ac:dyDescent="0.2">
      <c r="A25">
        <v>205.92322134496359</v>
      </c>
      <c r="B25">
        <v>62.430041421644283</v>
      </c>
      <c r="C25" s="3">
        <f>Wadt[[#This Row],[Wadt Cross Section]]*$AA$4</f>
        <v>6.2430041421644278E-19</v>
      </c>
      <c r="D25">
        <f t="shared" si="2"/>
        <v>17385.989143215866</v>
      </c>
      <c r="F25">
        <v>17.679754303734864</v>
      </c>
      <c r="G25">
        <v>75.338697878566222</v>
      </c>
      <c r="H25" s="3">
        <f>amarouche4[[#This Row],[Amarouche Cross Section]]*$AA$4</f>
        <v>7.5338697878566217E-19</v>
      </c>
      <c r="I25" s="3">
        <f t="shared" si="0"/>
        <v>5094.3039684449104</v>
      </c>
      <c r="K25">
        <v>177.76417545333129</v>
      </c>
      <c r="L25">
        <v>67.460312921667764</v>
      </c>
      <c r="M25" s="3">
        <f>DBP_without_Spin_Orbit6[[#This Row],[DBP w/o Spin Orbit Cross Section]]*$AA$4</f>
        <v>6.746031292166776E-19</v>
      </c>
      <c r="N25">
        <f t="shared" si="1"/>
        <v>16153.582859463424</v>
      </c>
    </row>
    <row r="26" spans="1:14" x14ac:dyDescent="0.2">
      <c r="A26">
        <v>256.85928594140387</v>
      </c>
      <c r="B26">
        <v>61.223647304322625</v>
      </c>
      <c r="C26" s="3">
        <f>Wadt[[#This Row],[Wadt Cross Section]]*$AA$4</f>
        <v>6.1223647304322619E-19</v>
      </c>
      <c r="D26">
        <f t="shared" si="2"/>
        <v>19417.547571087736</v>
      </c>
      <c r="F26">
        <v>20.094278695194511</v>
      </c>
      <c r="G26">
        <v>73.619604974396509</v>
      </c>
      <c r="H26" s="3">
        <f>amarouche4[[#This Row],[Amarouche Cross Section]]*$AA$4</f>
        <v>7.3619604974396507E-19</v>
      </c>
      <c r="I26" s="3">
        <f t="shared" si="0"/>
        <v>5431.0393950308689</v>
      </c>
      <c r="K26">
        <v>220.92638152942499</v>
      </c>
      <c r="L26">
        <v>65.848883956292269</v>
      </c>
      <c r="M26" s="3">
        <f>DBP_without_Spin_Orbit6[[#This Row],[DBP w/o Spin Orbit Cross Section]]*$AA$4</f>
        <v>6.5848883956292267E-19</v>
      </c>
      <c r="N26">
        <f t="shared" si="1"/>
        <v>18008.209403345805</v>
      </c>
    </row>
    <row r="27" spans="1:14" x14ac:dyDescent="0.2">
      <c r="A27">
        <v>320.35804651054798</v>
      </c>
      <c r="B27">
        <v>59.907284048147645</v>
      </c>
      <c r="C27" s="3">
        <f>Wadt[[#This Row],[Wadt Cross Section]]*$AA$4</f>
        <v>5.9907284048147643E-19</v>
      </c>
      <c r="D27">
        <f t="shared" si="2"/>
        <v>21685.256362370306</v>
      </c>
      <c r="F27">
        <v>22.815484729692681</v>
      </c>
      <c r="G27">
        <v>72.466715435259701</v>
      </c>
      <c r="H27" s="3">
        <f>amarouche4[[#This Row],[Amarouche Cross Section]]*$AA$4</f>
        <v>7.2466715435259701E-19</v>
      </c>
      <c r="I27" s="3">
        <f t="shared" si="0"/>
        <v>5787.1080676539004</v>
      </c>
      <c r="K27">
        <v>281.68076472023643</v>
      </c>
      <c r="L27">
        <v>64.249068893369937</v>
      </c>
      <c r="M27" s="3">
        <f>DBP_without_Spin_Orbit6[[#This Row],[DBP w/o Spin Orbit Cross Section]]*$AA$4</f>
        <v>6.424906889336993E-19</v>
      </c>
      <c r="N27">
        <f t="shared" si="1"/>
        <v>20334.11792733867</v>
      </c>
    </row>
    <row r="28" spans="1:14" x14ac:dyDescent="0.2">
      <c r="A28">
        <v>392.77041259067801</v>
      </c>
      <c r="B28">
        <v>58.924094618597607</v>
      </c>
      <c r="C28" s="3">
        <f>Wadt[[#This Row],[Wadt Cross Section]]*$AA$4</f>
        <v>5.8924094618597608E-19</v>
      </c>
      <c r="D28">
        <f t="shared" si="2"/>
        <v>24011.324930202154</v>
      </c>
      <c r="F28">
        <v>26.025476110628581</v>
      </c>
      <c r="G28">
        <v>71.21872713972202</v>
      </c>
      <c r="H28" s="3">
        <f>amarouche4[[#This Row],[Amarouche Cross Section]]*$AA$4</f>
        <v>7.1218727139722017E-19</v>
      </c>
      <c r="I28" s="3">
        <f t="shared" si="0"/>
        <v>6180.8198275287259</v>
      </c>
      <c r="K28">
        <v>343.42414181099696</v>
      </c>
      <c r="L28">
        <v>62.673933373160565</v>
      </c>
      <c r="M28" s="3">
        <f>DBP_without_Spin_Orbit6[[#This Row],[DBP w/o Spin Orbit Cross Section]]*$AA$4</f>
        <v>6.2673933373160566E-19</v>
      </c>
      <c r="N28">
        <f t="shared" si="1"/>
        <v>22452.368071456123</v>
      </c>
    </row>
    <row r="29" spans="1:14" x14ac:dyDescent="0.2">
      <c r="A29">
        <v>501.84996647743293</v>
      </c>
      <c r="B29">
        <v>57.867229495360348</v>
      </c>
      <c r="C29" s="3">
        <f>Wadt[[#This Row],[Wadt Cross Section]]*$AA$4</f>
        <v>5.7867229495360347E-19</v>
      </c>
      <c r="D29">
        <f t="shared" si="2"/>
        <v>27141.490402173531</v>
      </c>
      <c r="F29">
        <v>29.549896355674104</v>
      </c>
      <c r="G29">
        <v>70.06583760058524</v>
      </c>
      <c r="H29" s="3">
        <f>amarouche4[[#This Row],[Amarouche Cross Section]]*$AA$4</f>
        <v>7.0065837600585241E-19</v>
      </c>
      <c r="I29" s="3">
        <f t="shared" si="0"/>
        <v>6586.0454485624987</v>
      </c>
      <c r="K29">
        <v>468.5673913626087</v>
      </c>
      <c r="L29">
        <v>61.631295280428432</v>
      </c>
      <c r="M29" s="3">
        <f>DBP_without_Spin_Orbit6[[#This Row],[DBP w/o Spin Orbit Cross Section]]*$AA$4</f>
        <v>6.1631295280428433E-19</v>
      </c>
      <c r="N29">
        <f t="shared" si="1"/>
        <v>26226.043260839513</v>
      </c>
    </row>
    <row r="30" spans="1:14" x14ac:dyDescent="0.2">
      <c r="A30">
        <v>598.9523882251026</v>
      </c>
      <c r="B30">
        <v>57.09490498222543</v>
      </c>
      <c r="C30" s="3">
        <f>Wadt[[#This Row],[Wadt Cross Section]]*$AA$4</f>
        <v>5.7094904982225424E-19</v>
      </c>
      <c r="D30">
        <f t="shared" si="2"/>
        <v>29651.242237079809</v>
      </c>
      <c r="F30">
        <v>33.70737596801024</v>
      </c>
      <c r="G30">
        <v>68.817849305047574</v>
      </c>
      <c r="H30" s="3">
        <f>amarouche4[[#This Row],[Amarouche Cross Section]]*$AA$4</f>
        <v>6.8817849305047566E-19</v>
      </c>
      <c r="I30" s="3">
        <f t="shared" si="0"/>
        <v>7034.1109613982308</v>
      </c>
      <c r="K30">
        <v>566.66802187934923</v>
      </c>
      <c r="L30">
        <v>60.204527364058137</v>
      </c>
      <c r="M30" s="3">
        <f>DBP_without_Spin_Orbit6[[#This Row],[DBP w/o Spin Orbit Cross Section]]*$AA$4</f>
        <v>6.0204527364058131E-19</v>
      </c>
      <c r="N30">
        <f t="shared" si="1"/>
        <v>28841.051829789187</v>
      </c>
    </row>
    <row r="31" spans="1:14" x14ac:dyDescent="0.2">
      <c r="F31">
        <v>38.272093929903768</v>
      </c>
      <c r="G31">
        <v>67.664959765910766</v>
      </c>
      <c r="H31" s="3">
        <f>amarouche4[[#This Row],[Amarouche Cross Section]]*$AA$4</f>
        <v>6.7664959765910761E-19</v>
      </c>
      <c r="I31" s="3">
        <f t="shared" si="0"/>
        <v>7495.2798778674824</v>
      </c>
    </row>
    <row r="32" spans="1:14" x14ac:dyDescent="0.2">
      <c r="F32">
        <v>43.844649811669697</v>
      </c>
      <c r="G32">
        <v>66.510607168983185</v>
      </c>
      <c r="H32" s="3">
        <f>amarouche4[[#This Row],[Amarouche Cross Section]]*$AA$4</f>
        <v>6.651060716898318E-19</v>
      </c>
      <c r="I32" s="3">
        <f t="shared" si="0"/>
        <v>8022.4135389299709</v>
      </c>
    </row>
    <row r="33" spans="6:9" x14ac:dyDescent="0.2">
      <c r="F33">
        <v>50.228590069536871</v>
      </c>
      <c r="G33">
        <v>65.356254572055633</v>
      </c>
      <c r="H33" s="3">
        <f>amarouche4[[#This Row],[Amarouche Cross Section]]*$AA$4</f>
        <v>6.5356254572055628E-19</v>
      </c>
      <c r="I33" s="3">
        <f t="shared" si="0"/>
        <v>8586.6198512013416</v>
      </c>
    </row>
    <row r="34" spans="6:9" x14ac:dyDescent="0.2">
      <c r="F34">
        <v>57.011433424014207</v>
      </c>
      <c r="G34">
        <v>64.392099487929784</v>
      </c>
      <c r="H34" s="3">
        <f>amarouche4[[#This Row],[Amarouche Cross Section]]*$AA$4</f>
        <v>6.4392099487929784E-19</v>
      </c>
      <c r="I34" s="3">
        <f t="shared" ref="I34:I51" si="3">SQRT(2*F34*$AA$3/$AA$2)</f>
        <v>9148.0330005072392</v>
      </c>
    </row>
    <row r="35" spans="6:9" x14ac:dyDescent="0.2">
      <c r="F35">
        <v>64.74293629065798</v>
      </c>
      <c r="G35">
        <v>63.144842721287503</v>
      </c>
      <c r="H35" s="3">
        <f>amarouche4[[#This Row],[Amarouche Cross Section]]*$AA$4</f>
        <v>6.3144842721287498E-19</v>
      </c>
      <c r="I35" s="3">
        <f t="shared" si="3"/>
        <v>9748.6154305098644</v>
      </c>
    </row>
    <row r="36" spans="6:9" x14ac:dyDescent="0.2">
      <c r="F36">
        <v>74.157250807938652</v>
      </c>
      <c r="G36">
        <v>62.084857351865423</v>
      </c>
      <c r="H36" s="3">
        <f>amarouche4[[#This Row],[Amarouche Cross Section]]*$AA$4</f>
        <v>6.2084857351865417E-19</v>
      </c>
      <c r="I36" s="3">
        <f t="shared" si="3"/>
        <v>10433.344626007884</v>
      </c>
    </row>
    <row r="37" spans="6:9" x14ac:dyDescent="0.2">
      <c r="F37">
        <v>84.143057369901484</v>
      </c>
      <c r="G37">
        <v>61.309436722750561</v>
      </c>
      <c r="H37" s="3">
        <f>amarouche4[[#This Row],[Amarouche Cross Section]]*$AA$4</f>
        <v>6.1309436722750554E-19</v>
      </c>
      <c r="I37" s="3">
        <f t="shared" si="3"/>
        <v>11113.62878465707</v>
      </c>
    </row>
    <row r="38" spans="6:9" x14ac:dyDescent="0.2">
      <c r="F38">
        <v>95.537872727511669</v>
      </c>
      <c r="G38">
        <v>60.156547183613782</v>
      </c>
      <c r="H38" s="3">
        <f>amarouche4[[#This Row],[Amarouche Cross Section]]*$AA$4</f>
        <v>6.0156547183613778E-19</v>
      </c>
      <c r="I38" s="3">
        <f t="shared" si="3"/>
        <v>11842.258198208849</v>
      </c>
    </row>
    <row r="39" spans="6:9" x14ac:dyDescent="0.2">
      <c r="F39">
        <v>109.44853399350315</v>
      </c>
      <c r="G39">
        <v>59.002194586686201</v>
      </c>
      <c r="H39" s="3">
        <f>amarouche4[[#This Row],[Amarouche Cross Section]]*$AA$4</f>
        <v>5.9002194586686196E-19</v>
      </c>
      <c r="I39" s="3">
        <f t="shared" si="3"/>
        <v>12675.109408702296</v>
      </c>
    </row>
    <row r="40" spans="6:9" x14ac:dyDescent="0.2">
      <c r="F40">
        <v>124.1865653665934</v>
      </c>
      <c r="G40">
        <v>58.226773957571339</v>
      </c>
      <c r="H40" s="3">
        <f>amarouche4[[#This Row],[Amarouche Cross Section]]*$AA$4</f>
        <v>5.8226773957571334E-19</v>
      </c>
      <c r="I40" s="3">
        <f t="shared" si="3"/>
        <v>13501.563096275408</v>
      </c>
    </row>
    <row r="41" spans="6:9" x14ac:dyDescent="0.2">
      <c r="F41">
        <v>142.85690720860094</v>
      </c>
      <c r="G41">
        <v>57.260424286759374</v>
      </c>
      <c r="H41" s="3">
        <f>amarouche4[[#This Row],[Amarouche Cross Section]]*$AA$4</f>
        <v>5.7260424286759375E-19</v>
      </c>
      <c r="I41" s="3">
        <f t="shared" si="3"/>
        <v>14480.96034164499</v>
      </c>
    </row>
    <row r="42" spans="6:9" x14ac:dyDescent="0.2">
      <c r="F42">
        <v>162.98340235490878</v>
      </c>
      <c r="G42">
        <v>55.918068763716171</v>
      </c>
      <c r="H42" s="3">
        <f>amarouche4[[#This Row],[Amarouche Cross Section]]*$AA$4</f>
        <v>5.5918068763716172E-19</v>
      </c>
      <c r="I42" s="3">
        <f t="shared" si="3"/>
        <v>15467.439721238332</v>
      </c>
    </row>
    <row r="43" spans="6:9" x14ac:dyDescent="0.2">
      <c r="F43">
        <v>185.11728160175988</v>
      </c>
      <c r="G43">
        <v>54.576444769568425</v>
      </c>
      <c r="H43" s="3">
        <f>amarouche4[[#This Row],[Amarouche Cross Section]]*$AA$4</f>
        <v>5.4576444769568424E-19</v>
      </c>
      <c r="I43" s="3">
        <f t="shared" si="3"/>
        <v>16484.289172031975</v>
      </c>
    </row>
    <row r="44" spans="6:9" x14ac:dyDescent="0.2">
      <c r="F44">
        <v>211.85680999980207</v>
      </c>
      <c r="G44">
        <v>53.98829553767375</v>
      </c>
      <c r="H44" s="3">
        <f>amarouche4[[#This Row],[Amarouche Cross Section]]*$AA$4</f>
        <v>5.3988295537673747E-19</v>
      </c>
      <c r="I44" s="3">
        <f t="shared" si="3"/>
        <v>17634.695160229021</v>
      </c>
    </row>
    <row r="45" spans="6:9" x14ac:dyDescent="0.2">
      <c r="F45">
        <v>241.4602508074862</v>
      </c>
      <c r="G45">
        <v>53.212143379663523</v>
      </c>
      <c r="H45" s="3">
        <f>amarouche4[[#This Row],[Amarouche Cross Section]]*$AA$4</f>
        <v>5.3212143379663516E-19</v>
      </c>
      <c r="I45" s="3">
        <f t="shared" si="3"/>
        <v>18826.499021471955</v>
      </c>
    </row>
    <row r="46" spans="6:9" x14ac:dyDescent="0.2">
      <c r="F46">
        <v>275.29300214150481</v>
      </c>
      <c r="G46">
        <v>52.247256766642288</v>
      </c>
      <c r="H46" s="3">
        <f>amarouche4[[#This Row],[Amarouche Cross Section]]*$AA$4</f>
        <v>5.2247256766642285E-19</v>
      </c>
      <c r="I46" s="3">
        <f t="shared" si="3"/>
        <v>20102.234195662302</v>
      </c>
    </row>
    <row r="47" spans="6:9" x14ac:dyDescent="0.2">
      <c r="F47">
        <v>312.46842967240968</v>
      </c>
      <c r="G47">
        <v>51.283101682516488</v>
      </c>
      <c r="H47" s="3">
        <f>amarouche4[[#This Row],[Amarouche Cross Section]]*$AA$4</f>
        <v>5.1283101682516489E-19</v>
      </c>
      <c r="I47" s="3">
        <f t="shared" si="3"/>
        <v>21416.564957177543</v>
      </c>
    </row>
    <row r="48" spans="6:9" x14ac:dyDescent="0.2">
      <c r="F48">
        <v>357.72386560598784</v>
      </c>
      <c r="G48">
        <v>50.506217995610861</v>
      </c>
      <c r="H48" s="3">
        <f>amarouche4[[#This Row],[Amarouche Cross Section]]*$AA$4</f>
        <v>5.0506217995610861E-19</v>
      </c>
      <c r="I48" s="3">
        <f t="shared" si="3"/>
        <v>22915.044234425346</v>
      </c>
    </row>
    <row r="49" spans="6:9" x14ac:dyDescent="0.2">
      <c r="F49">
        <v>405.89395397388921</v>
      </c>
      <c r="G49">
        <v>49.73079736649602</v>
      </c>
      <c r="H49" s="3">
        <f>amarouche4[[#This Row],[Amarouche Cross Section]]*$AA$4</f>
        <v>4.9730797366496017E-19</v>
      </c>
      <c r="I49" s="3">
        <f t="shared" si="3"/>
        <v>24409.171203888814</v>
      </c>
    </row>
    <row r="50" spans="6:9" x14ac:dyDescent="0.2">
      <c r="F50">
        <v>464.75867564139071</v>
      </c>
      <c r="G50">
        <v>48.859546452084885</v>
      </c>
      <c r="H50" s="3">
        <f>amarouche4[[#This Row],[Amarouche Cross Section]]*$AA$4</f>
        <v>4.8859546452084879E-19</v>
      </c>
      <c r="I50" s="3">
        <f t="shared" si="3"/>
        <v>26119.237541490955</v>
      </c>
    </row>
    <row r="51" spans="6:9" x14ac:dyDescent="0.2">
      <c r="F51">
        <v>527.25295174709481</v>
      </c>
      <c r="G51">
        <v>48.178493050475502</v>
      </c>
      <c r="H51" s="3">
        <f>amarouche4[[#This Row],[Amarouche Cross Section]]*$AA$4</f>
        <v>4.8178493050475497E-19</v>
      </c>
      <c r="I51" s="3">
        <f t="shared" si="3"/>
        <v>27819.944050414852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54EFC-BEE1-4342-94DD-84DD3DCCAF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DBP without Spin Orbit</vt:lpstr>
      <vt:lpstr>amarouche</vt:lpstr>
      <vt:lpstr>Wadt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Gao</dc:creator>
  <cp:lastModifiedBy>Ryan Gao</cp:lastModifiedBy>
  <dcterms:created xsi:type="dcterms:W3CDTF">2025-06-23T21:07:47Z</dcterms:created>
  <dcterms:modified xsi:type="dcterms:W3CDTF">2025-07-02T20:36:42Z</dcterms:modified>
</cp:coreProperties>
</file>