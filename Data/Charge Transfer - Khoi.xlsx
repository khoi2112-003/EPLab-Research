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i2\Documents\UIUC Docs\UIUC Aerospace\Research\"/>
    </mc:Choice>
  </mc:AlternateContent>
  <xr:revisionPtr revIDLastSave="0" documentId="13_ncr:1_{4AE8709B-6C3D-421C-81A9-FE7CB7A94C99}" xr6:coauthVersionLast="47" xr6:coauthVersionMax="47" xr10:uidLastSave="{00000000-0000-0000-0000-000000000000}"/>
  <bookViews>
    <workbookView xWindow="-110" yWindow="-110" windowWidth="19420" windowHeight="10300" xr2:uid="{6DE98D0F-C85B-498C-B84E-62C841EB2D24}"/>
  </bookViews>
  <sheets>
    <sheet name="Cross Sections" sheetId="2" r:id="rId1"/>
    <sheet name="Sheet1" sheetId="1" r:id="rId2"/>
  </sheets>
  <definedNames>
    <definedName name="ExternalData_1" localSheetId="0" hidden="1">'Cross Sections'!$A$1:$B$30</definedName>
    <definedName name="ExternalData_2" localSheetId="0" hidden="1">'Cross Sections'!$F$1:$G$51</definedName>
    <definedName name="ExternalData_3" localSheetId="0" hidden="1">'Cross Sections'!$K$1:$L$26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C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V4" i="2"/>
  <c r="V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241DA-88D3-45E8-8508-70618A183A29}" keepAlive="1" name="Query - 1_electron_model" description="Connection to the '1_electron_model' query in the workbook." type="5" refreshedVersion="8" background="1" saveData="1">
    <dbPr connection="Provider=Microsoft.Mashup.OleDb.1;Data Source=$Workbook$;Location=1_electron_model;Extended Properties=&quot;&quot;" command="SELECT * FROM [1_electron_model]"/>
  </connection>
  <connection id="2" xr16:uid="{65E2B33B-D837-40AC-9D25-CEE664E6B5C2}" keepAlive="1" name="Query - DBP with spin orbit" description="Connection to the 'DBP with spin orbit' query in the workbook." type="5" refreshedVersion="8" background="1" saveData="1">
    <dbPr connection="Provider=Microsoft.Mashup.OleDb.1;Data Source=$Workbook$;Location=&quot;DBP with spin orbit&quot;;Extended Properties=&quot;&quot;" command="SELECT * FROM [DBP with spin orbit]"/>
  </connection>
  <connection id="3" xr16:uid="{8C4329D5-C5F6-4295-9B3A-FB7EC0593DF9}" keepAlive="1" name="Query - Rapp Francis" description="Connection to the 'Rapp Francis' query in the workbook." type="5" refreshedVersion="8" background="1" saveData="1">
    <dbPr connection="Provider=Microsoft.Mashup.OleDb.1;Data Source=$Workbook$;Location=&quot;Rapp Francis&quot;;Extended Properties=&quot;&quot;" command="SELECT * FROM [Rapp Francis]"/>
  </connection>
</connections>
</file>

<file path=xl/sharedStrings.xml><?xml version="1.0" encoding="utf-8"?>
<sst xmlns="http://schemas.openxmlformats.org/spreadsheetml/2006/main" count="16" uniqueCount="15">
  <si>
    <t>Energy</t>
  </si>
  <si>
    <t>Cross Section</t>
  </si>
  <si>
    <t>Speed</t>
  </si>
  <si>
    <t>DBP w/ spin Energy</t>
  </si>
  <si>
    <t>DBP w/ spin Cross Sections</t>
  </si>
  <si>
    <t>Mass</t>
  </si>
  <si>
    <t>Energy 1 Electron</t>
  </si>
  <si>
    <t>Cross Section 1 Electrion</t>
  </si>
  <si>
    <t>DBP w/ cs</t>
  </si>
  <si>
    <t>1 Electron CS</t>
  </si>
  <si>
    <t>Speed 1 Electron</t>
  </si>
  <si>
    <t>Cross Section RF</t>
  </si>
  <si>
    <t>Energy RF</t>
  </si>
  <si>
    <t>RF CS</t>
  </si>
  <si>
    <t>Speed DBP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</si>
</sst>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063894-6C04-427C-9278-B1FB65824ACE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A88569-E0B4-4490-8A05-1FC4FEA962A2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905721F-2EAA-44E0-9D96-CB53606548E5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5148A-47B2-45F4-84B1-26457E42AEC5}" name="DBP_with_spin_orbit" displayName="DBP_with_spin_orbit" ref="A1:D30" tableType="queryTable" totalsRowShown="0">
  <autoFilter ref="A1:D30" xr:uid="{9035148A-47B2-45F4-84B1-26457E42AEC5}"/>
  <tableColumns count="4">
    <tableColumn id="1" xr3:uid="{4AF1B78C-4014-4E77-936F-E05F38720779}" uniqueName="1" name="DBP w/ spin Energy" queryTableFieldId="1"/>
    <tableColumn id="2" xr3:uid="{75906054-EED8-4CF1-BD3C-E563A610E889}" uniqueName="2" name="DBP w/ spin Cross Sections" queryTableFieldId="2"/>
    <tableColumn id="3" xr3:uid="{7128919F-2762-43DD-A22F-FA1D20D1FC2D}" uniqueName="3" name="DBP w/ cs" queryTableFieldId="3" dataDxfId="5">
      <calculatedColumnFormula>DBP_with_spin_orbit[[#This Row],[DBP w/ spin Cross Sections]]*$V$4</calculatedColumnFormula>
    </tableColumn>
    <tableColumn id="4" xr3:uid="{5027C661-EC1D-4934-B2C6-CBB0D6C8DA53}" uniqueName="4" name="Speed DBP" queryTableFieldId="4" dataDxfId="4">
      <calculatedColumnFormula>SQRT(2*DBP_with_spin_orbit[[#This Row],[DBP w/ spin Energy]]*$V$3/$V$2)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2373CE-FD15-4D36-AFDD-DE70632FCAC1}" name="_1_electron_model" displayName="_1_electron_model" ref="F1:I51" tableType="queryTable" totalsRowShown="0">
  <autoFilter ref="F1:I51" xr:uid="{662373CE-FD15-4D36-AFDD-DE70632FCAC1}"/>
  <tableColumns count="4">
    <tableColumn id="1" xr3:uid="{C5C558F0-6933-4135-9311-E750551FCDC1}" uniqueName="1" name="Energy 1 Electron" queryTableFieldId="1"/>
    <tableColumn id="2" xr3:uid="{72E196A5-9B55-4044-94EF-D2F261EEF5F7}" uniqueName="2" name="Cross Section 1 Electrion" queryTableFieldId="2"/>
    <tableColumn id="3" xr3:uid="{311EA5C4-F9B7-4F14-A6CB-CEE15EC4AC43}" uniqueName="3" name="1 Electron CS" queryTableFieldId="3" dataDxfId="3">
      <calculatedColumnFormula>_1_electron_model[[#This Row],[Cross Section 1 Electrion]]*1E-20</calculatedColumnFormula>
    </tableColumn>
    <tableColumn id="4" xr3:uid="{09F44F42-1371-4412-8FAB-B9EFC339FD5E}" uniqueName="4" name="Speed 1 Electron" queryTableFieldId="4" dataDxfId="2">
      <calculatedColumnFormula>SQRT(2*_1_electron_model[[#This Row],[Energy 1 Electron]]*$V$3/$V$2)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F09215-5164-4CE3-AF67-23901BC52122}" name="Rapp_Francis" displayName="Rapp_Francis" ref="K1:N26" tableType="queryTable" totalsRowShown="0">
  <autoFilter ref="K1:N26" xr:uid="{A0F09215-5164-4CE3-AF67-23901BC52122}"/>
  <tableColumns count="4">
    <tableColumn id="1" xr3:uid="{4BA33535-7206-4E31-A8F5-FCD2C1BBFBB3}" uniqueName="1" name="Energy RF" queryTableFieldId="1"/>
    <tableColumn id="2" xr3:uid="{E1EE0ED1-15AE-4815-9D5A-0846B7638319}" uniqueName="2" name="Cross Section RF" queryTableFieldId="2"/>
    <tableColumn id="3" xr3:uid="{02E6BEDC-E019-48A0-98A2-75DC71012E7B}" uniqueName="3" name="RF CS" queryTableFieldId="3" dataDxfId="1">
      <calculatedColumnFormula>Rapp_Francis[[#This Row],[Cross Section RF]]*$V$4</calculatedColumnFormula>
    </tableColumn>
    <tableColumn id="4" xr3:uid="{6C65F352-9C9D-4DAB-AC22-61AF5F0B1C96}" uniqueName="4" name="Speed" queryTableFieldId="4" dataDxfId="0">
      <calculatedColumnFormula>SQRT(2*Rapp_Francis[[#This Row],[Energy RF]]*$V$3/$V$2)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1FD7-CE20-47B8-A5F9-042040B931DA}">
  <dimension ref="A1:V51"/>
  <sheetViews>
    <sheetView tabSelected="1" zoomScale="88" workbookViewId="0">
      <selection activeCell="E4" sqref="E4"/>
    </sheetView>
  </sheetViews>
  <sheetFormatPr defaultRowHeight="14.5" x14ac:dyDescent="0.35"/>
  <cols>
    <col min="1" max="2" width="11.81640625" bestFit="1" customWidth="1"/>
    <col min="6" max="8" width="12.26953125" bestFit="1" customWidth="1"/>
    <col min="11" max="12" width="12.26953125" bestFit="1" customWidth="1"/>
    <col min="22" max="22" width="11.26953125" customWidth="1"/>
  </cols>
  <sheetData>
    <row r="1" spans="1:22" ht="15.5" x14ac:dyDescent="0.35">
      <c r="A1" t="s">
        <v>3</v>
      </c>
      <c r="B1" t="s">
        <v>4</v>
      </c>
      <c r="C1" t="s">
        <v>8</v>
      </c>
      <c r="D1" t="s">
        <v>14</v>
      </c>
      <c r="F1" t="s">
        <v>6</v>
      </c>
      <c r="G1" t="s">
        <v>7</v>
      </c>
      <c r="H1" t="s">
        <v>9</v>
      </c>
      <c r="I1" t="s">
        <v>10</v>
      </c>
      <c r="K1" t="s">
        <v>12</v>
      </c>
      <c r="L1" t="s">
        <v>11</v>
      </c>
      <c r="M1" t="s">
        <v>13</v>
      </c>
      <c r="N1" t="s">
        <v>2</v>
      </c>
      <c r="V1" s="2" t="s">
        <v>5</v>
      </c>
    </row>
    <row r="2" spans="1:22" ht="15.5" x14ac:dyDescent="0.35">
      <c r="A2">
        <v>1.1532091659706198</v>
      </c>
      <c r="B2">
        <v>109.35746602143045</v>
      </c>
      <c r="C2" s="4">
        <f>DBP_with_spin_orbit[[#This Row],[DBP w/ spin Cross Sections]]*$V$4</f>
        <v>1.0935746602143045E-18</v>
      </c>
      <c r="D2">
        <f>SQRT(2*DBP_with_spin_orbit[[#This Row],[DBP w/ spin Energy]]*$V$3/$V$2)</f>
        <v>1302.4729523511317</v>
      </c>
      <c r="F2">
        <v>0.88795434445398913</v>
      </c>
      <c r="G2">
        <v>88.659107534747619</v>
      </c>
      <c r="H2">
        <f>_1_electron_model[[#This Row],[Cross Section 1 Electrion]]*1E-20</f>
        <v>8.8659107534747614E-19</v>
      </c>
      <c r="I2">
        <f>SQRT(2*_1_electron_model[[#This Row],[Energy 1 Electron]]*$V$3/$V$2)</f>
        <v>1142.9046212458395</v>
      </c>
      <c r="K2">
        <v>1.0278502562956067</v>
      </c>
      <c r="L2">
        <v>79.837829461119497</v>
      </c>
      <c r="M2" s="4">
        <f>Rapp_Francis[[#This Row],[Cross Section RF]]*$V$4</f>
        <v>7.9837829461119492E-19</v>
      </c>
      <c r="N2">
        <f>SQRT(2*Rapp_Francis[[#This Row],[Energy RF]]*$V$3/$V$2)</f>
        <v>1229.6445656765675</v>
      </c>
      <c r="V2" s="2">
        <f>131 * 1.66054E-27</f>
        <v>2.1753074E-25</v>
      </c>
    </row>
    <row r="3" spans="1:22" ht="15.5" x14ac:dyDescent="0.35">
      <c r="A3">
        <v>1.4268155185162432</v>
      </c>
      <c r="B3">
        <v>107.62322003761284</v>
      </c>
      <c r="C3" s="4">
        <f>DBP_with_spin_orbit[[#This Row],[DBP w/ spin Cross Sections]]*$V$4</f>
        <v>1.0762322003761283E-18</v>
      </c>
      <c r="D3">
        <f>SQRT(2*DBP_with_spin_orbit[[#This Row],[DBP w/ spin Energy]]*$V$3/$V$2)</f>
        <v>1448.7671253883561</v>
      </c>
      <c r="F3">
        <v>1.0175864704139856</v>
      </c>
      <c r="G3">
        <v>87.316020482809066</v>
      </c>
      <c r="H3">
        <f>_1_electron_model[[#This Row],[Cross Section 1 Electrion]]*1E-20</f>
        <v>8.7316020482809051E-19</v>
      </c>
      <c r="I3">
        <f>SQRT(2*_1_electron_model[[#This Row],[Energy 1 Electron]]*$V$3/$V$2)</f>
        <v>1223.4897422488107</v>
      </c>
      <c r="K3">
        <v>1.3574085742702262</v>
      </c>
      <c r="L3">
        <v>77.398909945956575</v>
      </c>
      <c r="M3" s="4">
        <f>Rapp_Francis[[#This Row],[Cross Section RF]]*$V$4</f>
        <v>7.7398909945956575E-19</v>
      </c>
      <c r="N3">
        <f>SQRT(2*Rapp_Francis[[#This Row],[Energy RF]]*$V$3/$V$2)</f>
        <v>1413.0904606598829</v>
      </c>
      <c r="V3" s="2">
        <f>1.6*10^(-19)</f>
        <v>1.6000000000000002E-19</v>
      </c>
    </row>
    <row r="4" spans="1:22" ht="15.5" x14ac:dyDescent="0.35">
      <c r="A4">
        <v>1.7441817882699382</v>
      </c>
      <c r="B4">
        <v>105.43777394349009</v>
      </c>
      <c r="C4" s="4">
        <f>DBP_with_spin_orbit[[#This Row],[DBP w/ spin Cross Sections]]*$V$4</f>
        <v>1.0543777394349007E-18</v>
      </c>
      <c r="D4">
        <f>SQRT(2*DBP_with_spin_orbit[[#This Row],[DBP w/ spin Energy]]*$V$3/$V$2)</f>
        <v>1601.8083170087209</v>
      </c>
      <c r="F4">
        <v>1.1551953974102085</v>
      </c>
      <c r="G4">
        <v>86.257498171177758</v>
      </c>
      <c r="H4">
        <f>_1_electron_model[[#This Row],[Cross Section 1 Electrion]]*1E-20</f>
        <v>8.6257498171177756E-19</v>
      </c>
      <c r="I4">
        <f>SQRT(2*_1_electron_model[[#This Row],[Energy 1 Electron]]*$V$3/$V$2)</f>
        <v>1303.5941278609544</v>
      </c>
      <c r="K4">
        <v>1.782347642112164</v>
      </c>
      <c r="L4">
        <v>75.002671522309029</v>
      </c>
      <c r="M4" s="4">
        <f>Rapp_Francis[[#This Row],[Cross Section RF]]*$V$4</f>
        <v>7.5002671522309029E-19</v>
      </c>
      <c r="N4">
        <f>SQRT(2*Rapp_Francis[[#This Row],[Energy RF]]*$V$3/$V$2)</f>
        <v>1619.238713169621</v>
      </c>
      <c r="V4" s="3">
        <f>10^(-20)</f>
        <v>9.9999999999999995E-21</v>
      </c>
    </row>
    <row r="5" spans="1:22" x14ac:dyDescent="0.35">
      <c r="A5">
        <v>2.1509164276950923</v>
      </c>
      <c r="B5">
        <v>103.5105920051694</v>
      </c>
      <c r="C5" s="4">
        <f>DBP_with_spin_orbit[[#This Row],[DBP w/ spin Cross Sections]]*$V$4</f>
        <v>1.035105920051694E-18</v>
      </c>
      <c r="D5">
        <f>SQRT(2*DBP_with_spin_orbit[[#This Row],[DBP w/ spin Energy]]*$V$3/$V$2)</f>
        <v>1778.797206727538</v>
      </c>
      <c r="F5">
        <v>1.3172800886243261</v>
      </c>
      <c r="G5">
        <v>85.198244330651065</v>
      </c>
      <c r="H5">
        <f>_1_electron_model[[#This Row],[Cross Section 1 Electrion]]*1E-20</f>
        <v>8.5198244330651063E-19</v>
      </c>
      <c r="I5">
        <f>SQRT(2*_1_electron_model[[#This Row],[Energy 1 Electron]]*$V$3/$V$2)</f>
        <v>1392.0464726540567</v>
      </c>
      <c r="K5">
        <v>2.1820807405434755</v>
      </c>
      <c r="L5">
        <v>74.426476786851794</v>
      </c>
      <c r="M5" s="4">
        <f>Rapp_Francis[[#This Row],[Cross Section RF]]*$V$4</f>
        <v>7.4426476786851786E-19</v>
      </c>
      <c r="N5">
        <f>SQRT(2*Rapp_Francis[[#This Row],[Energy RF]]*$V$3/$V$2)</f>
        <v>1791.6372306781643</v>
      </c>
    </row>
    <row r="6" spans="1:22" x14ac:dyDescent="0.35">
      <c r="A6">
        <v>2.6989306561586961</v>
      </c>
      <c r="B6">
        <v>101.94053756728329</v>
      </c>
      <c r="C6" s="4">
        <f>DBP_with_spin_orbit[[#This Row],[DBP w/ spin Cross Sections]]*$V$4</f>
        <v>1.0194053756728329E-18</v>
      </c>
      <c r="D6">
        <f>SQRT(2*DBP_with_spin_orbit[[#This Row],[DBP w/ spin Energy]]*$V$3/$V$2)</f>
        <v>1992.5559898770155</v>
      </c>
      <c r="F6">
        <v>1.5085725581268765</v>
      </c>
      <c r="G6">
        <v>84.232626188734457</v>
      </c>
      <c r="H6">
        <f>_1_electron_model[[#This Row],[Cross Section 1 Electrion]]*1E-20</f>
        <v>8.4232626188734453E-19</v>
      </c>
      <c r="I6">
        <f>SQRT(2*_1_electron_model[[#This Row],[Energy 1 Electron]]*$V$3/$V$2)</f>
        <v>1489.696413620363</v>
      </c>
      <c r="K6">
        <v>2.4836839617061539</v>
      </c>
      <c r="L6">
        <v>73.374692745937807</v>
      </c>
      <c r="M6" s="4">
        <f>Rapp_Francis[[#This Row],[Cross Section RF]]*$V$4</f>
        <v>7.3374692745937801E-19</v>
      </c>
      <c r="N6">
        <f>SQRT(2*Rapp_Francis[[#This Row],[Energy RF]]*$V$3/$V$2)</f>
        <v>1911.4495370657517</v>
      </c>
    </row>
    <row r="7" spans="1:22" x14ac:dyDescent="0.35">
      <c r="A7">
        <v>3.4411320453932053</v>
      </c>
      <c r="B7">
        <v>99.897942473334354</v>
      </c>
      <c r="C7" s="4">
        <f>DBP_with_spin_orbit[[#This Row],[DBP w/ spin Cross Sections]]*$V$4</f>
        <v>9.9897942473334355E-19</v>
      </c>
      <c r="D7">
        <f>SQRT(2*DBP_with_spin_orbit[[#This Row],[DBP w/ spin Energy]]*$V$3/$V$2)</f>
        <v>2249.9110026706194</v>
      </c>
      <c r="F7">
        <v>1.7128663678685974</v>
      </c>
      <c r="G7">
        <v>83.079736649597663</v>
      </c>
      <c r="H7">
        <f>_1_electron_model[[#This Row],[Cross Section 1 Electrion]]*1E-20</f>
        <v>8.3079736649597657E-19</v>
      </c>
      <c r="I7">
        <f>SQRT(2*_1_electron_model[[#This Row],[Energy 1 Electron]]*$V$3/$V$2)</f>
        <v>1587.3635793371893</v>
      </c>
      <c r="K7">
        <v>3.2023215636246727</v>
      </c>
      <c r="L7">
        <v>71.682692332293527</v>
      </c>
      <c r="M7" s="4">
        <f>Rapp_Francis[[#This Row],[Cross Section RF]]*$V$4</f>
        <v>7.1682692332293526E-19</v>
      </c>
      <c r="N7">
        <f>SQRT(2*Rapp_Francis[[#This Row],[Energy RF]]*$V$3/$V$2)</f>
        <v>2170.4367805523457</v>
      </c>
    </row>
    <row r="8" spans="1:22" x14ac:dyDescent="0.35">
      <c r="A8">
        <v>4.2610640664368669</v>
      </c>
      <c r="B8">
        <v>98.199409239560197</v>
      </c>
      <c r="C8" s="4">
        <f>DBP_with_spin_orbit[[#This Row],[DBP w/ spin Cross Sections]]*$V$4</f>
        <v>9.819940923956019E-19</v>
      </c>
      <c r="D8">
        <f>SQRT(2*DBP_with_spin_orbit[[#This Row],[DBP w/ spin Energy]]*$V$3/$V$2)</f>
        <v>2503.6504977788427</v>
      </c>
      <c r="F8">
        <v>1.9619354345045816</v>
      </c>
      <c r="G8">
        <v>82.019751280175569</v>
      </c>
      <c r="H8">
        <f>_1_electron_model[[#This Row],[Cross Section 1 Electrion]]*1E-20</f>
        <v>8.2019751280175566E-19</v>
      </c>
      <c r="I8">
        <f>SQRT(2*_1_electron_model[[#This Row],[Energy 1 Electron]]*$V$3/$V$2)</f>
        <v>1698.857790426975</v>
      </c>
      <c r="K8">
        <v>4.2698294912596353</v>
      </c>
      <c r="L8">
        <v>69.807772955012055</v>
      </c>
      <c r="M8" s="4">
        <f>Rapp_Francis[[#This Row],[Cross Section RF]]*$V$4</f>
        <v>6.9807772955012056E-19</v>
      </c>
      <c r="N8">
        <f>SQRT(2*Rapp_Francis[[#This Row],[Energy RF]]*$V$3/$V$2)</f>
        <v>2506.2243015790318</v>
      </c>
    </row>
    <row r="9" spans="1:22" x14ac:dyDescent="0.35">
      <c r="A9">
        <v>5.3199146421344015</v>
      </c>
      <c r="B9">
        <v>96.291825761629198</v>
      </c>
      <c r="C9" s="4">
        <f>DBP_with_spin_orbit[[#This Row],[DBP w/ spin Cross Sections]]*$V$4</f>
        <v>9.6291825761629184E-19</v>
      </c>
      <c r="D9">
        <f>SQRT(2*DBP_with_spin_orbit[[#This Row],[DBP w/ spin Energy]]*$V$3/$V$2)</f>
        <v>2797.4800791065577</v>
      </c>
      <c r="F9">
        <v>2.2272493295175604</v>
      </c>
      <c r="G9">
        <v>80.961228968544248</v>
      </c>
      <c r="H9">
        <f>_1_electron_model[[#This Row],[Cross Section 1 Electrion]]*1E-20</f>
        <v>8.0961228968544242E-19</v>
      </c>
      <c r="I9">
        <f>SQRT(2*_1_electron_model[[#This Row],[Energy 1 Electron]]*$V$3/$V$2)</f>
        <v>1810.0854982248575</v>
      </c>
      <c r="K9">
        <v>5.687738747878166</v>
      </c>
      <c r="L9">
        <v>68.326129349550598</v>
      </c>
      <c r="M9" s="4">
        <f>Rapp_Francis[[#This Row],[Cross Section RF]]*$V$4</f>
        <v>6.8326129349550597E-19</v>
      </c>
      <c r="N9">
        <f>SQRT(2*Rapp_Francis[[#This Row],[Energy RF]]*$V$3/$V$2)</f>
        <v>2892.5740819114026</v>
      </c>
    </row>
    <row r="10" spans="1:22" x14ac:dyDescent="0.35">
      <c r="A10">
        <v>6.6418836605904161</v>
      </c>
      <c r="B10">
        <v>94.2274546005806</v>
      </c>
      <c r="C10" s="4">
        <f>DBP_with_spin_orbit[[#This Row],[DBP w/ spin Cross Sections]]*$V$4</f>
        <v>9.4227454600580592E-19</v>
      </c>
      <c r="D10">
        <f>SQRT(2*DBP_with_spin_orbit[[#This Row],[DBP w/ spin Energy]]*$V$3/$V$2)</f>
        <v>3125.7936361089178</v>
      </c>
      <c r="F10">
        <v>2.5397531887270257</v>
      </c>
      <c r="G10">
        <v>79.901975128017554</v>
      </c>
      <c r="H10">
        <f>_1_electron_model[[#This Row],[Cross Section 1 Electrion]]*1E-20</f>
        <v>7.9901975128017549E-19</v>
      </c>
      <c r="I10">
        <f>SQRT(2*_1_electron_model[[#This Row],[Energy 1 Electron]]*$V$3/$V$2)</f>
        <v>1932.9046358476191</v>
      </c>
      <c r="K10">
        <v>6.9566724414160142</v>
      </c>
      <c r="L10">
        <v>65.88720983438769</v>
      </c>
      <c r="M10" s="4">
        <f>Rapp_Francis[[#This Row],[Cross Section RF]]*$V$4</f>
        <v>6.5887209834387689E-19</v>
      </c>
      <c r="N10">
        <f>SQRT(2*Rapp_Francis[[#This Row],[Energy RF]]*$V$3/$V$2)</f>
        <v>3199.0088972425319</v>
      </c>
    </row>
    <row r="11" spans="1:22" x14ac:dyDescent="0.35">
      <c r="A11">
        <v>8.244526736033043</v>
      </c>
      <c r="B11">
        <v>92.621832586431694</v>
      </c>
      <c r="C11" s="4">
        <f>DBP_with_spin_orbit[[#This Row],[DBP w/ spin Cross Sections]]*$V$4</f>
        <v>9.2621832586431691E-19</v>
      </c>
      <c r="D11">
        <f>SQRT(2*DBP_with_spin_orbit[[#This Row],[DBP w/ spin Energy]]*$V$3/$V$2)</f>
        <v>3482.5514069923593</v>
      </c>
      <c r="F11">
        <v>2.895616473870763</v>
      </c>
      <c r="G11">
        <v>78.937088514996333</v>
      </c>
      <c r="H11">
        <f>_1_electron_model[[#This Row],[Cross Section 1 Electrion]]*1E-20</f>
        <v>7.8937088514996327E-19</v>
      </c>
      <c r="I11">
        <f>SQRT(2*_1_electron_model[[#This Row],[Energy 1 Electron]]*$V$3/$V$2)</f>
        <v>2063.8835517625771</v>
      </c>
      <c r="K11">
        <v>8.6402684231635725</v>
      </c>
      <c r="L11">
        <v>65.669924277582282</v>
      </c>
      <c r="M11" s="4">
        <f>Rapp_Francis[[#This Row],[Cross Section RF]]*$V$4</f>
        <v>6.5669924277582283E-19</v>
      </c>
      <c r="N11">
        <f>SQRT(2*Rapp_Francis[[#This Row],[Energy RF]]*$V$3/$V$2)</f>
        <v>3565.1539471805158</v>
      </c>
    </row>
    <row r="12" spans="1:22" x14ac:dyDescent="0.35">
      <c r="A12">
        <v>10.352958292341967</v>
      </c>
      <c r="B12">
        <v>90.961044535630293</v>
      </c>
      <c r="C12" s="4">
        <f>DBP_with_spin_orbit[[#This Row],[DBP w/ spin Cross Sections]]*$V$4</f>
        <v>9.0961044535630289E-19</v>
      </c>
      <c r="D12">
        <f>SQRT(2*DBP_with_spin_orbit[[#This Row],[DBP w/ spin Energy]]*$V$3/$V$2)</f>
        <v>3902.5358628159775</v>
      </c>
      <c r="F12">
        <v>3.301898478710843</v>
      </c>
      <c r="G12">
        <v>77.877834674469653</v>
      </c>
      <c r="H12">
        <f>_1_electron_model[[#This Row],[Cross Section 1 Electrion]]*1E-20</f>
        <v>7.7877834674469653E-19</v>
      </c>
      <c r="I12">
        <f>SQRT(2*_1_electron_model[[#This Row],[Energy 1 Electron]]*$V$3/$V$2)</f>
        <v>2203.9235654690419</v>
      </c>
      <c r="K12">
        <v>10.268206413244645</v>
      </c>
      <c r="L12">
        <v>64.350690539835057</v>
      </c>
      <c r="M12" s="4">
        <f>Rapp_Francis[[#This Row],[Cross Section RF]]*$V$4</f>
        <v>6.4350690539835054E-19</v>
      </c>
      <c r="N12">
        <f>SQRT(2*Rapp_Francis[[#This Row],[Energy RF]]*$V$3/$V$2)</f>
        <v>3886.5294751807096</v>
      </c>
    </row>
    <row r="13" spans="1:22" x14ac:dyDescent="0.35">
      <c r="A13">
        <v>13.603905748159185</v>
      </c>
      <c r="B13">
        <v>88.435020752068709</v>
      </c>
      <c r="C13" s="4">
        <f>DBP_with_spin_orbit[[#This Row],[DBP w/ spin Cross Sections]]*$V$4</f>
        <v>8.84350207520687E-19</v>
      </c>
      <c r="D13">
        <f>SQRT(2*DBP_with_spin_orbit[[#This Row],[DBP w/ spin Energy]]*$V$3/$V$2)</f>
        <v>4473.4900705936079</v>
      </c>
      <c r="F13">
        <v>3.762649650691074</v>
      </c>
      <c r="G13">
        <v>77.196049743964892</v>
      </c>
      <c r="H13">
        <f>_1_electron_model[[#This Row],[Cross Section 1 Electrion]]*1E-20</f>
        <v>7.7196049743964884E-19</v>
      </c>
      <c r="I13">
        <f>SQRT(2*_1_electron_model[[#This Row],[Energy 1 Electron]]*$V$3/$V$2)</f>
        <v>2352.6729627668724</v>
      </c>
      <c r="K13">
        <v>13.691158022240394</v>
      </c>
      <c r="L13">
        <v>62.765392854979176</v>
      </c>
      <c r="M13" s="4">
        <f>Rapp_Francis[[#This Row],[Cross Section RF]]*$V$4</f>
        <v>6.2765392854979168E-19</v>
      </c>
      <c r="N13">
        <f>SQRT(2*Rapp_Francis[[#This Row],[Energy RF]]*$V$3/$V$2)</f>
        <v>4487.8131013897919</v>
      </c>
    </row>
    <row r="14" spans="1:22" x14ac:dyDescent="0.35">
      <c r="A14">
        <v>16.842284913360547</v>
      </c>
      <c r="B14">
        <v>86.526566231453742</v>
      </c>
      <c r="C14" s="4">
        <f>DBP_with_spin_orbit[[#This Row],[DBP w/ spin Cross Sections]]*$V$4</f>
        <v>8.6526566231453739E-19</v>
      </c>
      <c r="D14">
        <f>SQRT(2*DBP_with_spin_orbit[[#This Row],[DBP w/ spin Energy]]*$V$3/$V$2)</f>
        <v>4977.5447760669686</v>
      </c>
      <c r="F14">
        <v>4.2721949342255128</v>
      </c>
      <c r="G14">
        <v>76.043160204828098</v>
      </c>
      <c r="H14">
        <f>_1_electron_model[[#This Row],[Cross Section 1 Electrion]]*1E-20</f>
        <v>7.6043160204828097E-19</v>
      </c>
      <c r="I14">
        <f>SQRT(2*_1_electron_model[[#This Row],[Energy 1 Electron]]*$V$3/$V$2)</f>
        <v>2506.9184170964718</v>
      </c>
      <c r="K14">
        <v>18.698118531263773</v>
      </c>
      <c r="L14">
        <v>61.119122182244212</v>
      </c>
      <c r="M14" s="4">
        <f>Rapp_Francis[[#This Row],[Cross Section RF]]*$V$4</f>
        <v>6.1119122182244208E-19</v>
      </c>
      <c r="N14">
        <f>SQRT(2*Rapp_Francis[[#This Row],[Energy RF]]*$V$3/$V$2)</f>
        <v>5244.6151457733895</v>
      </c>
    </row>
    <row r="15" spans="1:22" x14ac:dyDescent="0.35">
      <c r="A15">
        <v>20.728605165638857</v>
      </c>
      <c r="B15">
        <v>85.035776677810418</v>
      </c>
      <c r="C15" s="4">
        <f>DBP_with_spin_orbit[[#This Row],[DBP w/ spin Cross Sections]]*$V$4</f>
        <v>8.5035776677810409E-19</v>
      </c>
      <c r="D15">
        <f>SQRT(2*DBP_with_spin_orbit[[#This Row],[DBP w/ spin Energy]]*$V$3/$V$2)</f>
        <v>5522.0420592999562</v>
      </c>
      <c r="F15">
        <v>4.8667027466013977</v>
      </c>
      <c r="G15">
        <v>75.550109729334309</v>
      </c>
      <c r="H15">
        <f>_1_electron_model[[#This Row],[Cross Section 1 Electrion]]*1E-20</f>
        <v>7.5550109729334309E-19</v>
      </c>
      <c r="I15">
        <f>SQRT(2*_1_electron_model[[#This Row],[Energy 1 Electron]]*$V$3/$V$2)</f>
        <v>2675.6671143854364</v>
      </c>
      <c r="K15">
        <v>24.340604992542744</v>
      </c>
      <c r="L15">
        <v>59.472851509509255</v>
      </c>
      <c r="M15" s="4">
        <f>Rapp_Francis[[#This Row],[Cross Section RF]]*$V$4</f>
        <v>5.9472851509509248E-19</v>
      </c>
      <c r="N15">
        <f>SQRT(2*Rapp_Francis[[#This Row],[Energy RF]]*$V$3/$V$2)</f>
        <v>5983.8452668963155</v>
      </c>
    </row>
    <row r="16" spans="1:22" x14ac:dyDescent="0.35">
      <c r="A16">
        <v>26.425919599400032</v>
      </c>
      <c r="B16">
        <v>83.278448062867142</v>
      </c>
      <c r="C16" s="4">
        <f>DBP_with_spin_orbit[[#This Row],[DBP w/ spin Cross Sections]]*$V$4</f>
        <v>8.327844806286714E-19</v>
      </c>
      <c r="D16">
        <f>SQRT(2*DBP_with_spin_orbit[[#This Row],[DBP w/ spin Energy]]*$V$3/$V$2)</f>
        <v>6234.903343163076</v>
      </c>
      <c r="F16">
        <v>5.5523515620623822</v>
      </c>
      <c r="G16">
        <v>74.207754206291156</v>
      </c>
      <c r="H16">
        <f>_1_electron_model[[#This Row],[Cross Section 1 Electrion]]*1E-20</f>
        <v>7.4207754206291154E-19</v>
      </c>
      <c r="I16">
        <f>SQRT(2*_1_electron_model[[#This Row],[Energy 1 Electron]]*$V$3/$V$2)</f>
        <v>2857.9402767120064</v>
      </c>
      <c r="K16">
        <v>35.295507092969402</v>
      </c>
      <c r="L16">
        <v>57.232094204953341</v>
      </c>
      <c r="M16" s="4">
        <f>Rapp_Francis[[#This Row],[Cross Section RF]]*$V$4</f>
        <v>5.7232094204953342E-19</v>
      </c>
      <c r="N16">
        <f>SQRT(2*Rapp_Francis[[#This Row],[Energy RF]]*$V$3/$V$2)</f>
        <v>7205.6702439996052</v>
      </c>
    </row>
    <row r="17" spans="1:14" x14ac:dyDescent="0.35">
      <c r="A17">
        <v>34.294530886786205</v>
      </c>
      <c r="B17">
        <v>81.354532534611423</v>
      </c>
      <c r="C17" s="4">
        <f>DBP_with_spin_orbit[[#This Row],[DBP w/ spin Cross Sections]]*$V$4</f>
        <v>8.1354532534611419E-19</v>
      </c>
      <c r="D17">
        <f>SQRT(2*DBP_with_spin_orbit[[#This Row],[DBP w/ spin Energy]]*$V$3/$V$2)</f>
        <v>7102.7594040870781</v>
      </c>
      <c r="F17">
        <v>6.3335315750800776</v>
      </c>
      <c r="G17">
        <v>72.959765910753475</v>
      </c>
      <c r="H17">
        <f>_1_electron_model[[#This Row],[Cross Section 1 Electrion]]*1E-20</f>
        <v>7.295976591075347E-19</v>
      </c>
      <c r="I17">
        <f>SQRT(2*_1_electron_model[[#This Row],[Energy 1 Electron]]*$V$3/$V$2)</f>
        <v>3052.3732616860711</v>
      </c>
      <c r="K17">
        <v>44.217427606089622</v>
      </c>
      <c r="L17">
        <v>56.614742702677731</v>
      </c>
      <c r="M17" s="4">
        <f>Rapp_Francis[[#This Row],[Cross Section RF]]*$V$4</f>
        <v>5.6614742702677723E-19</v>
      </c>
      <c r="N17">
        <f>SQRT(2*Rapp_Francis[[#This Row],[Energy RF]]*$V$3/$V$2)</f>
        <v>8065.1306535194972</v>
      </c>
    </row>
    <row r="18" spans="1:14" x14ac:dyDescent="0.35">
      <c r="A18">
        <v>42.103962842699879</v>
      </c>
      <c r="B18">
        <v>79.881381595318828</v>
      </c>
      <c r="C18" s="4">
        <f>DBP_with_spin_orbit[[#This Row],[DBP w/ spin Cross Sections]]*$V$4</f>
        <v>7.9881381595318828E-19</v>
      </c>
      <c r="D18">
        <f>SQRT(2*DBP_with_spin_orbit[[#This Row],[DBP w/ spin Energy]]*$V$3/$V$2)</f>
        <v>7870.0258238671759</v>
      </c>
      <c r="F18">
        <v>7.2197525305125927</v>
      </c>
      <c r="G18">
        <v>72.089246525237755</v>
      </c>
      <c r="H18">
        <f>_1_electron_model[[#This Row],[Cross Section 1 Electrion]]*1E-20</f>
        <v>7.2089246525237748E-19</v>
      </c>
      <c r="I18">
        <f>SQRT(2*_1_electron_model[[#This Row],[Energy 1 Electron]]*$V$3/$V$2)</f>
        <v>3258.9359596049176</v>
      </c>
      <c r="K18">
        <v>55.79447056539572</v>
      </c>
      <c r="L18">
        <v>55.174255864034649</v>
      </c>
      <c r="M18" s="4">
        <f>Rapp_Francis[[#This Row],[Cross Section RF]]*$V$4</f>
        <v>5.5174255864034649E-19</v>
      </c>
      <c r="N18">
        <f>SQRT(2*Rapp_Francis[[#This Row],[Energy RF]]*$V$3/$V$2)</f>
        <v>9059.6256144499202</v>
      </c>
    </row>
    <row r="19" spans="1:14" x14ac:dyDescent="0.35">
      <c r="A19">
        <v>55.375642263400366</v>
      </c>
      <c r="B19">
        <v>77.712485312191816</v>
      </c>
      <c r="C19" s="4">
        <f>DBP_with_spin_orbit[[#This Row],[DBP w/ spin Cross Sections]]*$V$4</f>
        <v>7.7712485312191816E-19</v>
      </c>
      <c r="D19">
        <f>SQRT(2*DBP_with_spin_orbit[[#This Row],[DBP w/ spin Energy]]*$V$3/$V$2)</f>
        <v>9025.5579437142205</v>
      </c>
      <c r="F19">
        <v>8.2216647893136798</v>
      </c>
      <c r="G19">
        <v>71.784930504754954</v>
      </c>
      <c r="H19">
        <f>_1_electron_model[[#This Row],[Cross Section 1 Electrion]]*1E-20</f>
        <v>7.1784930504754951E-19</v>
      </c>
      <c r="I19">
        <f>SQRT(2*_1_electron_model[[#This Row],[Energy 1 Electron]]*$V$3/$V$2)</f>
        <v>3477.7195240514989</v>
      </c>
      <c r="K19">
        <v>76.933189791472486</v>
      </c>
      <c r="L19">
        <v>53.497498697360143</v>
      </c>
      <c r="M19" s="4">
        <f>Rapp_Francis[[#This Row],[Cross Section RF]]*$V$4</f>
        <v>5.3497498697360142E-19</v>
      </c>
      <c r="N19">
        <f>SQRT(2*Rapp_Francis[[#This Row],[Energy RF]]*$V$3/$V$2)</f>
        <v>10638.283024812086</v>
      </c>
    </row>
    <row r="20" spans="1:14" x14ac:dyDescent="0.35">
      <c r="A20">
        <v>67.699017343385989</v>
      </c>
      <c r="B20">
        <v>76.504639457063519</v>
      </c>
      <c r="C20" s="4">
        <f>DBP_with_spin_orbit[[#This Row],[DBP w/ spin Cross Sections]]*$V$4</f>
        <v>7.6504639457063513E-19</v>
      </c>
      <c r="D20">
        <f>SQRT(2*DBP_with_spin_orbit[[#This Row],[DBP w/ spin Energy]]*$V$3/$V$2)</f>
        <v>9979.4326841416296</v>
      </c>
      <c r="F20">
        <v>9.2966139918105331</v>
      </c>
      <c r="G20">
        <v>70.444038039502558</v>
      </c>
      <c r="H20">
        <f>_1_electron_model[[#This Row],[Cross Section 1 Electrion]]*1E-20</f>
        <v>7.0444038039502552E-19</v>
      </c>
      <c r="I20">
        <f>SQRT(2*_1_electron_model[[#This Row],[Energy 1 Electron]]*$V$3/$V$2)</f>
        <v>3698.0865396668232</v>
      </c>
      <c r="K20">
        <v>102.5792057736038</v>
      </c>
      <c r="L20">
        <v>52.339011927657779</v>
      </c>
      <c r="M20" s="4">
        <f>Rapp_Francis[[#This Row],[Cross Section RF]]*$V$4</f>
        <v>5.2339011927657777E-19</v>
      </c>
      <c r="N20">
        <f>SQRT(2*Rapp_Francis[[#This Row],[Energy RF]]*$V$3/$V$2)</f>
        <v>12284.128099356416</v>
      </c>
    </row>
    <row r="21" spans="1:14" x14ac:dyDescent="0.35">
      <c r="A21">
        <v>84.879631149822075</v>
      </c>
      <c r="B21">
        <v>74.76944984367158</v>
      </c>
      <c r="C21" s="4">
        <f>DBP_with_spin_orbit[[#This Row],[DBP w/ spin Cross Sections]]*$V$4</f>
        <v>7.4769449843671579E-19</v>
      </c>
      <c r="D21">
        <f>SQRT(2*DBP_with_spin_orbit[[#This Row],[DBP w/ spin Energy]]*$V$3/$V$2)</f>
        <v>11174.199282200172</v>
      </c>
      <c r="F21">
        <v>10.644854313501387</v>
      </c>
      <c r="G21">
        <v>69.572787125091452</v>
      </c>
      <c r="H21">
        <f>_1_electron_model[[#This Row],[Cross Section 1 Electrion]]*1E-20</f>
        <v>6.9572787125091452E-19</v>
      </c>
      <c r="I21">
        <f>SQRT(2*_1_electron_model[[#This Row],[Energy 1 Electron]]*$V$3/$V$2)</f>
        <v>3957.1683926392147</v>
      </c>
      <c r="K21">
        <v>136.77443357885713</v>
      </c>
      <c r="L21">
        <v>50.99760619431818</v>
      </c>
      <c r="M21" s="4">
        <f>Rapp_Francis[[#This Row],[Cross Section RF]]*$V$4</f>
        <v>5.099760619431818E-19</v>
      </c>
      <c r="N21">
        <f>SQRT(2*Rapp_Francis[[#This Row],[Energy RF]]*$V$3/$V$2)</f>
        <v>14184.601294160759</v>
      </c>
    </row>
    <row r="22" spans="1:14" x14ac:dyDescent="0.35">
      <c r="A22">
        <v>103.89926364680453</v>
      </c>
      <c r="B22">
        <v>73.151125123714536</v>
      </c>
      <c r="C22" s="4">
        <f>DBP_with_spin_orbit[[#This Row],[DBP w/ spin Cross Sections]]*$V$4</f>
        <v>7.3151125123714528E-19</v>
      </c>
      <c r="D22">
        <f>SQRT(2*DBP_with_spin_orbit[[#This Row],[DBP w/ spin Energy]]*$V$3/$V$2)</f>
        <v>12362.91562785122</v>
      </c>
      <c r="F22">
        <v>12.090473416864432</v>
      </c>
      <c r="G22">
        <v>68.231163130943685</v>
      </c>
      <c r="H22">
        <f>_1_electron_model[[#This Row],[Cross Section 1 Electrion]]*1E-20</f>
        <v>6.8231163130943685E-19</v>
      </c>
      <c r="I22">
        <f>SQRT(2*_1_electron_model[[#This Row],[Energy 1 Electron]]*$V$3/$V$2)</f>
        <v>4217.3177502105254</v>
      </c>
      <c r="K22">
        <v>184.12610692477205</v>
      </c>
      <c r="L22">
        <v>49.412308509462292</v>
      </c>
      <c r="M22" s="4">
        <f>Rapp_Francis[[#This Row],[Cross Section RF]]*$V$4</f>
        <v>4.9412308509462294E-19</v>
      </c>
      <c r="N22">
        <f>SQRT(2*Rapp_Francis[[#This Row],[Energy RF]]*$V$3/$V$2)</f>
        <v>16457.821811246875</v>
      </c>
    </row>
    <row r="23" spans="1:14" x14ac:dyDescent="0.35">
      <c r="A23">
        <v>127.21465544755256</v>
      </c>
      <c r="B23">
        <v>71.870692378254006</v>
      </c>
      <c r="C23" s="4">
        <f>DBP_with_spin_orbit[[#This Row],[DBP w/ spin Cross Sections]]*$V$4</f>
        <v>7.1870692378254005E-19</v>
      </c>
      <c r="D23">
        <f>SQRT(2*DBP_with_spin_orbit[[#This Row],[DBP w/ spin Energy]]*$V$3/$V$2)</f>
        <v>13679.910106151756</v>
      </c>
      <c r="F23">
        <v>13.834568502949313</v>
      </c>
      <c r="G23">
        <v>67.73738112655451</v>
      </c>
      <c r="H23">
        <f>_1_electron_model[[#This Row],[Cross Section 1 Electrion]]*1E-20</f>
        <v>6.7737381126554509E-19</v>
      </c>
      <c r="I23">
        <f>SQRT(2*_1_electron_model[[#This Row],[Energy 1 Electron]]*$V$3/$V$2)</f>
        <v>4511.2560719681815</v>
      </c>
      <c r="K23">
        <v>262.55176072930101</v>
      </c>
      <c r="L23">
        <v>47.766037836727335</v>
      </c>
      <c r="M23" s="4">
        <f>Rapp_Francis[[#This Row],[Cross Section RF]]*$V$4</f>
        <v>4.7766037836727334E-19</v>
      </c>
      <c r="N23">
        <f>SQRT(2*Rapp_Francis[[#This Row],[Energy RF]]*$V$3/$V$2)</f>
        <v>19652.69608252895</v>
      </c>
    </row>
    <row r="24" spans="1:14" x14ac:dyDescent="0.35">
      <c r="A24">
        <v>157.93475872759774</v>
      </c>
      <c r="B24">
        <v>70.082151400467879</v>
      </c>
      <c r="C24" s="4">
        <f>DBP_with_spin_orbit[[#This Row],[DBP w/ spin Cross Sections]]*$V$4</f>
        <v>7.0082151400467872E-19</v>
      </c>
      <c r="D24">
        <f>SQRT(2*DBP_with_spin_orbit[[#This Row],[DBP w/ spin Energy]]*$V$3/$V$2)</f>
        <v>15242.40620270932</v>
      </c>
      <c r="F24">
        <v>15.710718594525126</v>
      </c>
      <c r="G24">
        <v>66.49012435991223</v>
      </c>
      <c r="H24">
        <f>_1_electron_model[[#This Row],[Cross Section 1 Electrion]]*1E-20</f>
        <v>6.6490124359912223E-19</v>
      </c>
      <c r="I24">
        <f>SQRT(2*_1_electron_model[[#This Row],[Energy 1 Electron]]*$V$3/$V$2)</f>
        <v>4807.4269683692464</v>
      </c>
      <c r="K24">
        <v>330.49995850130216</v>
      </c>
      <c r="L24">
        <v>46.424632103387736</v>
      </c>
      <c r="M24" s="4">
        <f>Rapp_Francis[[#This Row],[Cross Section RF]]*$V$4</f>
        <v>4.6424632103387736E-19</v>
      </c>
      <c r="N24">
        <f>SQRT(2*Rapp_Francis[[#This Row],[Energy RF]]*$V$3/$V$2)</f>
        <v>22049.58272821529</v>
      </c>
    </row>
    <row r="25" spans="1:14" x14ac:dyDescent="0.35">
      <c r="A25">
        <v>199.08070703914251</v>
      </c>
      <c r="B25">
        <v>68.801718655007363</v>
      </c>
      <c r="C25" s="4">
        <f>DBP_with_spin_orbit[[#This Row],[DBP w/ spin Cross Sections]]*$V$4</f>
        <v>6.8801718655007358E-19</v>
      </c>
      <c r="D25">
        <f>SQRT(2*DBP_with_spin_orbit[[#This Row],[DBP w/ spin Energy]]*$V$3/$V$2)</f>
        <v>17113.122446045079</v>
      </c>
      <c r="F25">
        <v>17.893968023034663</v>
      </c>
      <c r="G25">
        <v>66.091441111923928</v>
      </c>
      <c r="H25">
        <f>_1_electron_model[[#This Row],[Cross Section 1 Electrion]]*1E-20</f>
        <v>6.6091441111923925E-19</v>
      </c>
      <c r="I25">
        <f>SQRT(2*_1_electron_model[[#This Row],[Energy 1 Electron]]*$V$3/$V$2)</f>
        <v>5130.5981355526665</v>
      </c>
      <c r="K25">
        <v>440.67356810714841</v>
      </c>
      <c r="L25">
        <v>45.20517234580629</v>
      </c>
      <c r="M25" s="4">
        <f>Rapp_Francis[[#This Row],[Cross Section RF]]*$V$4</f>
        <v>4.5205172345806287E-19</v>
      </c>
      <c r="N25">
        <f>SQRT(2*Rapp_Francis[[#This Row],[Energy RF]]*$V$3/$V$2)</f>
        <v>25460.866019358225</v>
      </c>
    </row>
    <row r="26" spans="1:14" x14ac:dyDescent="0.35">
      <c r="A26">
        <v>249.06244266819468</v>
      </c>
      <c r="B26">
        <v>67.086853370908443</v>
      </c>
      <c r="C26" s="4">
        <f>DBP_with_spin_orbit[[#This Row],[DBP w/ spin Cross Sections]]*$V$4</f>
        <v>6.7086853370908439E-19</v>
      </c>
      <c r="D26">
        <f>SQRT(2*DBP_with_spin_orbit[[#This Row],[DBP w/ spin Energy]]*$V$3/$V$2)</f>
        <v>19141.183737106054</v>
      </c>
      <c r="F26">
        <v>20.310360398815892</v>
      </c>
      <c r="G26">
        <v>65.127286027798121</v>
      </c>
      <c r="H26">
        <f>_1_electron_model[[#This Row],[Cross Section 1 Electrion]]*1E-20</f>
        <v>6.512728602779812E-19</v>
      </c>
      <c r="I26">
        <f>SQRT(2*_1_electron_model[[#This Row],[Energy 1 Electron]]*$V$3/$V$2)</f>
        <v>5466.0485580726026</v>
      </c>
      <c r="K26">
        <v>587.57403331873729</v>
      </c>
      <c r="L26">
        <v>44.10765856398298</v>
      </c>
      <c r="M26" s="4">
        <f>Rapp_Francis[[#This Row],[Cross Section RF]]*$V$4</f>
        <v>4.4107658563982977E-19</v>
      </c>
      <c r="N26">
        <f>SQRT(2*Rapp_Francis[[#This Row],[Energy RF]]*$V$3/$V$2)</f>
        <v>29399.907764521235</v>
      </c>
    </row>
    <row r="27" spans="1:14" x14ac:dyDescent="0.35">
      <c r="A27">
        <v>319.28457527598937</v>
      </c>
      <c r="B27">
        <v>65.466496218022087</v>
      </c>
      <c r="C27" s="4">
        <f>DBP_with_spin_orbit[[#This Row],[DBP w/ spin Cross Sections]]*$V$4</f>
        <v>6.5466496218022086E-19</v>
      </c>
      <c r="D27">
        <f>SQRT(2*DBP_with_spin_orbit[[#This Row],[DBP w/ spin Energy]]*$V$3/$V$2)</f>
        <v>21672.2319238288</v>
      </c>
      <c r="F27">
        <v>23.152292547482837</v>
      </c>
      <c r="G27">
        <v>64.2567666422824</v>
      </c>
      <c r="H27">
        <f>_1_electron_model[[#This Row],[Cross Section 1 Electrion]]*1E-20</f>
        <v>6.4256766642282398E-19</v>
      </c>
      <c r="I27">
        <f>SQRT(2*_1_electron_model[[#This Row],[Energy 1 Electron]]*$V$3/$V$2)</f>
        <v>5835.9514632262171</v>
      </c>
    </row>
    <row r="28" spans="1:14" x14ac:dyDescent="0.35">
      <c r="A28">
        <v>392.77041259067801</v>
      </c>
      <c r="B28">
        <v>63.801933648923416</v>
      </c>
      <c r="C28" s="4">
        <f>DBP_with_spin_orbit[[#This Row],[DBP w/ spin Cross Sections]]*$V$4</f>
        <v>6.3801933648923413E-19</v>
      </c>
      <c r="D28">
        <f>SQRT(2*DBP_with_spin_orbit[[#This Row],[DBP w/ spin Energy]]*$V$3/$V$2)</f>
        <v>24037.209741368046</v>
      </c>
      <c r="F28">
        <v>26.396328590483389</v>
      </c>
      <c r="G28">
        <v>63.291880029261172</v>
      </c>
      <c r="H28">
        <f>_1_electron_model[[#This Row],[Cross Section 1 Electrion]]*1E-20</f>
        <v>6.3291880029261167E-19</v>
      </c>
      <c r="I28">
        <f>SQRT(2*_1_electron_model[[#This Row],[Energy 1 Electron]]*$V$3/$V$2)</f>
        <v>6231.4115298065208</v>
      </c>
    </row>
    <row r="29" spans="1:14" x14ac:dyDescent="0.35">
      <c r="A29">
        <v>493.4717193536784</v>
      </c>
      <c r="B29">
        <v>62.326387342249859</v>
      </c>
      <c r="C29" s="4">
        <f>DBP_with_spin_orbit[[#This Row],[DBP w/ spin Cross Sections]]*$V$4</f>
        <v>6.2326387342249852E-19</v>
      </c>
      <c r="D29">
        <f>SQRT(2*DBP_with_spin_orbit[[#This Row],[DBP w/ spin Energy]]*$V$3/$V$2)</f>
        <v>26942.99092238929</v>
      </c>
      <c r="F29">
        <v>29.960875429538444</v>
      </c>
      <c r="G29">
        <v>62.327724945135358</v>
      </c>
      <c r="H29">
        <f>_1_electron_model[[#This Row],[Cross Section 1 Electrion]]*1E-20</f>
        <v>6.2327724945135352E-19</v>
      </c>
      <c r="I29">
        <f>SQRT(2*_1_electron_model[[#This Row],[Energy 1 Electron]]*$V$3/$V$2)</f>
        <v>6638.8356888113349</v>
      </c>
    </row>
    <row r="30" spans="1:14" x14ac:dyDescent="0.35">
      <c r="A30">
        <v>612.22627613079419</v>
      </c>
      <c r="B30">
        <v>61.223647304322625</v>
      </c>
      <c r="C30" s="4">
        <f>DBP_with_spin_orbit[[#This Row],[DBP w/ spin Cross Sections]]*$V$4</f>
        <v>6.1223647304322619E-19</v>
      </c>
      <c r="D30">
        <f>SQRT(2*DBP_with_spin_orbit[[#This Row],[DBP w/ spin Energy]]*$V$3/$V$2)</f>
        <v>30010.321850450448</v>
      </c>
      <c r="F30">
        <v>34.15315825532106</v>
      </c>
      <c r="G30">
        <v>61.457205559619609</v>
      </c>
      <c r="H30">
        <f>_1_electron_model[[#This Row],[Cross Section 1 Electrion]]*1E-20</f>
        <v>6.1457205559619601E-19</v>
      </c>
      <c r="I30">
        <f>SQRT(2*_1_electron_model[[#This Row],[Energy 1 Electron]]*$V$3/$V$2)</f>
        <v>7088.104403137344</v>
      </c>
    </row>
    <row r="31" spans="1:14" x14ac:dyDescent="0.35">
      <c r="F31">
        <v>38.918934003553396</v>
      </c>
      <c r="G31">
        <v>60.775420629114876</v>
      </c>
      <c r="H31">
        <f>_1_electron_model[[#This Row],[Cross Section 1 Electrion]]*1E-20</f>
        <v>6.0775420629114871E-19</v>
      </c>
      <c r="I31">
        <f>SQRT(2*_1_electron_model[[#This Row],[Energy 1 Electron]]*$V$3/$V$2)</f>
        <v>7566.5017824613333</v>
      </c>
    </row>
    <row r="32" spans="1:14" x14ac:dyDescent="0.35">
      <c r="F32">
        <v>44.555642090343191</v>
      </c>
      <c r="G32">
        <v>59.998536942209228</v>
      </c>
      <c r="H32">
        <f>_1_electron_model[[#This Row],[Cross Section 1 Electrion]]*1E-20</f>
        <v>5.9998536942209223E-19</v>
      </c>
      <c r="I32">
        <f>SQRT(2*_1_electron_model[[#This Row],[Energy 1 Electron]]*$V$3/$V$2)</f>
        <v>8095.9165669960057</v>
      </c>
    </row>
    <row r="33" spans="6:9" x14ac:dyDescent="0.35">
      <c r="F33">
        <v>50.555379382526958</v>
      </c>
      <c r="G33">
        <v>59.22311631309438</v>
      </c>
      <c r="H33">
        <f>_1_electron_model[[#This Row],[Cross Section 1 Electrion]]*1E-20</f>
        <v>5.922311631309438E-19</v>
      </c>
      <c r="I33">
        <f>SQRT(2*_1_electron_model[[#This Row],[Energy 1 Electron]]*$V$3/$V$2)</f>
        <v>8623.7936752191818</v>
      </c>
    </row>
    <row r="34" spans="6:9" x14ac:dyDescent="0.35">
      <c r="F34">
        <v>57.126786551026392</v>
      </c>
      <c r="G34">
        <v>58.259692757863959</v>
      </c>
      <c r="H34">
        <f>_1_electron_model[[#This Row],[Cross Section 1 Electrion]]*1E-20</f>
        <v>5.8259692757863953E-19</v>
      </c>
      <c r="I34">
        <f>SQRT(2*_1_electron_model[[#This Row],[Energy 1 Electron]]*$V$3/$V$2)</f>
        <v>9167.1548644836512</v>
      </c>
    </row>
    <row r="35" spans="6:9" x14ac:dyDescent="0.35">
      <c r="F35">
        <v>65.389559628872306</v>
      </c>
      <c r="G35">
        <v>57.577176298463812</v>
      </c>
      <c r="H35">
        <f>_1_electron_model[[#This Row],[Cross Section 1 Electrion]]*1E-20</f>
        <v>5.7577176298463805E-19</v>
      </c>
      <c r="I35">
        <f>SQRT(2*_1_electron_model[[#This Row],[Energy 1 Electron]]*$V$3/$V$2)</f>
        <v>9807.7384758535754</v>
      </c>
    </row>
    <row r="36" spans="6:9" x14ac:dyDescent="0.35">
      <c r="F36">
        <v>74.872672618926075</v>
      </c>
      <c r="G36">
        <v>56.705925384052691</v>
      </c>
      <c r="H36">
        <f>_1_electron_model[[#This Row],[Cross Section 1 Electrion]]*1E-20</f>
        <v>5.6705925384052686E-19</v>
      </c>
      <c r="I36">
        <f>SQRT(2*_1_electron_model[[#This Row],[Energy 1 Electron]]*$V$3/$V$2)</f>
        <v>10494.852482120636</v>
      </c>
    </row>
    <row r="37" spans="6:9" x14ac:dyDescent="0.35">
      <c r="F37">
        <v>84.940507219241312</v>
      </c>
      <c r="G37">
        <v>56.024871982443351</v>
      </c>
      <c r="H37">
        <f>_1_electron_model[[#This Row],[Cross Section 1 Electrion]]*1E-20</f>
        <v>5.6024871982443343E-19</v>
      </c>
      <c r="I37">
        <f>SQRT(2*_1_electron_model[[#This Row],[Energy 1 Electron]]*$V$3/$V$2)</f>
        <v>11178.205658038783</v>
      </c>
    </row>
    <row r="38" spans="6:9" x14ac:dyDescent="0.35">
      <c r="F38">
        <v>96.410830278685239</v>
      </c>
      <c r="G38">
        <v>55.060716898317501</v>
      </c>
      <c r="H38">
        <f>_1_electron_model[[#This Row],[Cross Section 1 Electrion]]*1E-20</f>
        <v>5.5060716898317499E-19</v>
      </c>
      <c r="I38">
        <f>SQRT(2*_1_electron_model[[#This Row],[Energy 1 Electron]]*$V$3/$V$2)</f>
        <v>11909.062706658509</v>
      </c>
    </row>
    <row r="39" spans="6:9" x14ac:dyDescent="0.35">
      <c r="F39">
        <v>109.86412187105265</v>
      </c>
      <c r="G39">
        <v>54.378931967812747</v>
      </c>
      <c r="H39">
        <f>_1_electron_model[[#This Row],[Cross Section 1 Electrion]]*1E-20</f>
        <v>5.437893196781274E-19</v>
      </c>
      <c r="I39">
        <f>SQRT(2*_1_electron_model[[#This Row],[Energy 1 Electron]]*$V$3/$V$2)</f>
        <v>12712.840989967766</v>
      </c>
    </row>
    <row r="40" spans="6:9" x14ac:dyDescent="0.35">
      <c r="F40">
        <v>125.79715288042807</v>
      </c>
      <c r="G40">
        <v>53.507681053401626</v>
      </c>
      <c r="H40">
        <f>_1_electron_model[[#This Row],[Cross Section 1 Electrion]]*1E-20</f>
        <v>5.350768105340162E-19</v>
      </c>
      <c r="I40">
        <f>SQRT(2*_1_electron_model[[#This Row],[Energy 1 Electron]]*$V$3/$V$2)</f>
        <v>13603.481694260463</v>
      </c>
    </row>
    <row r="41" spans="6:9" x14ac:dyDescent="0.35">
      <c r="F41">
        <v>143.39935027927407</v>
      </c>
      <c r="G41">
        <v>52.63716166788592</v>
      </c>
      <c r="H41">
        <f>_1_electron_model[[#This Row],[Cross Section 1 Electrion]]*1E-20</f>
        <v>5.2637161667885918E-19</v>
      </c>
      <c r="I41">
        <f>SQRT(2*_1_electron_model[[#This Row],[Energy 1 Electron]]*$V$3/$V$2)</f>
        <v>14524.06762492869</v>
      </c>
    </row>
    <row r="42" spans="6:9" x14ac:dyDescent="0.35">
      <c r="F42">
        <v>164.16816880050524</v>
      </c>
      <c r="G42">
        <v>51.860277980980271</v>
      </c>
      <c r="H42">
        <f>_1_electron_model[[#This Row],[Cross Section 1 Electrion]]*1E-20</f>
        <v>5.186027798098027E-19</v>
      </c>
      <c r="I42">
        <f>SQRT(2*_1_electron_model[[#This Row],[Energy 1 Electron]]*$V$3/$V$2)</f>
        <v>15540.291020268623</v>
      </c>
    </row>
    <row r="43" spans="6:9" x14ac:dyDescent="0.35">
      <c r="F43">
        <v>187.07640679279305</v>
      </c>
      <c r="G43">
        <v>51.17849305047551</v>
      </c>
      <c r="H43">
        <f>_1_electron_model[[#This Row],[Cross Section 1 Electrion]]*1E-20</f>
        <v>5.117849305047551E-19</v>
      </c>
      <c r="I43">
        <f>SQRT(2*_1_electron_model[[#This Row],[Energy 1 Electron]]*$V$3/$V$2)</f>
        <v>16589.151769940712</v>
      </c>
    </row>
    <row r="44" spans="6:9" x14ac:dyDescent="0.35">
      <c r="F44">
        <v>213.21720129928008</v>
      </c>
      <c r="G44">
        <v>50.402340892465276</v>
      </c>
      <c r="H44">
        <f>_1_electron_model[[#This Row],[Cross Section 1 Electrion]]*1E-20</f>
        <v>5.040234089246527E-19</v>
      </c>
      <c r="I44">
        <f>SQRT(2*_1_electron_model[[#This Row],[Energy 1 Electron]]*$V$3/$V$2)</f>
        <v>17710.294775505634</v>
      </c>
    </row>
    <row r="45" spans="6:9" x14ac:dyDescent="0.35">
      <c r="F45">
        <v>243.01073400587163</v>
      </c>
      <c r="G45">
        <v>49.626188734455035</v>
      </c>
      <c r="H45">
        <f>_1_electron_model[[#This Row],[Cross Section 1 Electrion]]*1E-20</f>
        <v>4.9626188734455029E-19</v>
      </c>
      <c r="I45">
        <f>SQRT(2*_1_electron_model[[#This Row],[Energy 1 Electron]]*$V$3/$V$2)</f>
        <v>18907.207878080852</v>
      </c>
    </row>
    <row r="46" spans="6:9" x14ac:dyDescent="0.35">
      <c r="F46">
        <v>277.06073481396771</v>
      </c>
      <c r="G46">
        <v>48.66130212143382</v>
      </c>
      <c r="H46">
        <f>_1_electron_model[[#This Row],[Cross Section 1 Electrion]]*1E-20</f>
        <v>4.8661302121433817E-19</v>
      </c>
      <c r="I46">
        <f>SQRT(2*_1_electron_model[[#This Row],[Energy 1 Electron]]*$V$3/$V$2)</f>
        <v>20188.412105605399</v>
      </c>
    </row>
    <row r="47" spans="6:9" x14ac:dyDescent="0.35">
      <c r="F47">
        <v>315.77533201387092</v>
      </c>
      <c r="G47">
        <v>47.885149963423572</v>
      </c>
      <c r="H47">
        <f>_1_electron_model[[#This Row],[Cross Section 1 Electrion]]*1E-20</f>
        <v>4.7885149963423566E-19</v>
      </c>
      <c r="I47">
        <f>SQRT(2*_1_electron_model[[#This Row],[Energy 1 Electron]]*$V$3/$V$2)</f>
        <v>21552.803566938237</v>
      </c>
    </row>
    <row r="48" spans="6:9" x14ac:dyDescent="0.35">
      <c r="F48">
        <v>358.23640228654688</v>
      </c>
      <c r="G48">
        <v>47.204096561814218</v>
      </c>
      <c r="H48">
        <f>_1_electron_model[[#This Row],[Cross Section 1 Electrion]]*1E-20</f>
        <v>4.7204096561814214E-19</v>
      </c>
      <c r="I48">
        <f>SQRT(2*_1_electron_model[[#This Row],[Energy 1 Electron]]*$V$3/$V$2)</f>
        <v>22956.175057152002</v>
      </c>
    </row>
    <row r="49" spans="6:9" x14ac:dyDescent="0.35">
      <c r="F49">
        <v>408.36271853548425</v>
      </c>
      <c r="G49">
        <v>46.333577176298469</v>
      </c>
      <c r="H49">
        <f>_1_electron_model[[#This Row],[Cross Section 1 Electrion]]*1E-20</f>
        <v>4.6333577176298463E-19</v>
      </c>
      <c r="I49">
        <f>SQRT(2*_1_electron_model[[#This Row],[Energy 1 Electron]]*$V$3/$V$2)</f>
        <v>24509.684096568551</v>
      </c>
    </row>
    <row r="50" spans="6:9" x14ac:dyDescent="0.35">
      <c r="F50">
        <v>465.26780226122293</v>
      </c>
      <c r="G50">
        <v>45.74615947329923</v>
      </c>
      <c r="H50">
        <f>_1_electron_model[[#This Row],[Cross Section 1 Electrion]]*1E-20</f>
        <v>4.5746159473299223E-19</v>
      </c>
      <c r="I50">
        <f>SQRT(2*_1_electron_model[[#This Row],[Energy 1 Electron]]*$V$3/$V$2)</f>
        <v>26161.712586335088</v>
      </c>
    </row>
    <row r="51" spans="6:9" x14ac:dyDescent="0.35">
      <c r="F51">
        <v>530.10257301972183</v>
      </c>
      <c r="G51">
        <v>45.158741770299955</v>
      </c>
      <c r="H51">
        <f>_1_electron_model[[#This Row],[Cross Section 1 Electrion]]*1E-20</f>
        <v>4.5158741770299954E-19</v>
      </c>
      <c r="I51">
        <f>SQRT(2*_1_electron_model[[#This Row],[Energy 1 Electron]]*$V$3/$V$2)</f>
        <v>27925.092904229947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53B7-6015-4773-9B75-7F1AD03B6B92}">
  <dimension ref="A1:C1"/>
  <sheetViews>
    <sheetView workbookViewId="0">
      <selection activeCell="A2" sqref="A2"/>
    </sheetView>
  </sheetViews>
  <sheetFormatPr defaultRowHeight="14.5" x14ac:dyDescent="0.35"/>
  <sheetData>
    <row r="1" spans="1:3" ht="29" x14ac:dyDescent="0.35">
      <c r="A1" t="s">
        <v>0</v>
      </c>
      <c r="B1" s="1" t="s">
        <v>1</v>
      </c>
      <c r="C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3903605F32AE41AD0996002DCB8DFA" ma:contentTypeVersion="13" ma:contentTypeDescription="Create a new document." ma:contentTypeScope="" ma:versionID="b5685a31e1387c5fcab70c8641c88239">
  <xsd:schema xmlns:xsd="http://www.w3.org/2001/XMLSchema" xmlns:xs="http://www.w3.org/2001/XMLSchema" xmlns:p="http://schemas.microsoft.com/office/2006/metadata/properties" xmlns:ns3="871f7daa-77b3-4f8c-85fa-4f5c4605bfba" xmlns:ns4="21a3ea8c-6e1a-4a0e-883f-95cf9b54641f" targetNamespace="http://schemas.microsoft.com/office/2006/metadata/properties" ma:root="true" ma:fieldsID="d52c1d7ca035b41f47c38d23e93ebbca" ns3:_="" ns4:_="">
    <xsd:import namespace="871f7daa-77b3-4f8c-85fa-4f5c4605bfba"/>
    <xsd:import namespace="21a3ea8c-6e1a-4a0e-883f-95cf9b5464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f7daa-77b3-4f8c-85fa-4f5c4605b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3ea8c-6e1a-4a0e-883f-95cf9b54641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1f7daa-77b3-4f8c-85fa-4f5c4605bfba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771E11D-4B0D-4D0E-B4FE-958C70BD9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f7daa-77b3-4f8c-85fa-4f5c4605bfba"/>
    <ds:schemaRef ds:uri="21a3ea8c-6e1a-4a0e-883f-95cf9b5464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6265E6-3BC4-4DD5-8C92-59C7F5CBBF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3839D7-F43F-422C-BF06-D81F449BE0D0}">
  <ds:schemaRefs>
    <ds:schemaRef ds:uri="21a3ea8c-6e1a-4a0e-883f-95cf9b54641f"/>
    <ds:schemaRef ds:uri="http://schemas.microsoft.com/office/2006/metadata/properties"/>
    <ds:schemaRef ds:uri="871f7daa-77b3-4f8c-85fa-4f5c4605bfba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5DB614A-0E73-4A6C-9B57-2B5F5ACD9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Sections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Khoi</dc:creator>
  <cp:lastModifiedBy>Nguyen, Khoi</cp:lastModifiedBy>
  <dcterms:created xsi:type="dcterms:W3CDTF">2025-06-23T21:10:46Z</dcterms:created>
  <dcterms:modified xsi:type="dcterms:W3CDTF">2025-07-02T20:41:37Z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0x010100D93903605F32AE41AD0996002DCB8DFA</vt:lpwstr>
  </property>
</Properties>
</file>