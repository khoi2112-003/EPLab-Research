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oi2\Documents\UIUC Docs\UIUC Aerospace\Research\"/>
    </mc:Choice>
  </mc:AlternateContent>
  <xr:revisionPtr revIDLastSave="0" documentId="13_ncr:1_{1A184036-1751-4010-9F68-725985157113}" xr6:coauthVersionLast="47" xr6:coauthVersionMax="47" xr10:uidLastSave="{00000000-0000-0000-0000-000000000000}"/>
  <bookViews>
    <workbookView xWindow="-110" yWindow="-110" windowWidth="19420" windowHeight="10300" xr2:uid="{0EC01F6A-DA5B-41FB-A9FD-F5D2E4E935EE}"/>
  </bookViews>
  <sheets>
    <sheet name="Xen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" i="1"/>
  <c r="V3" i="1"/>
  <c r="V4" i="1"/>
  <c r="T3" i="1" s="1"/>
  <c r="T10" i="1"/>
  <c r="T11" i="1"/>
  <c r="T12" i="1"/>
  <c r="T13" i="1"/>
  <c r="T14" i="1"/>
  <c r="T15" i="1"/>
  <c r="T16" i="1"/>
  <c r="T17" i="1"/>
  <c r="T18" i="1"/>
  <c r="T19" i="1"/>
  <c r="T20" i="1"/>
  <c r="T21" i="1"/>
  <c r="T24" i="1"/>
  <c r="T28" i="1"/>
  <c r="T29" i="1"/>
  <c r="T30" i="1"/>
  <c r="T31" i="1"/>
  <c r="T32" i="1"/>
  <c r="T33" i="1"/>
  <c r="T34" i="1"/>
  <c r="T35" i="1"/>
  <c r="T36" i="1"/>
  <c r="T37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5" i="1"/>
  <c r="T56" i="1"/>
  <c r="T57" i="1"/>
  <c r="T58" i="1"/>
  <c r="T59" i="1"/>
  <c r="T60" i="1"/>
  <c r="T61" i="1"/>
  <c r="T2" i="1"/>
  <c r="O3" i="1"/>
  <c r="O4" i="1"/>
  <c r="O5" i="1"/>
  <c r="O6" i="1"/>
  <c r="O7" i="1"/>
  <c r="O8" i="1"/>
  <c r="O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J7" i="1"/>
  <c r="J17" i="1"/>
  <c r="J18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V2" i="1"/>
  <c r="I3" i="1"/>
  <c r="J3" i="1" s="1"/>
  <c r="I4" i="1"/>
  <c r="J4" i="1" s="1"/>
  <c r="I5" i="1"/>
  <c r="J5" i="1" s="1"/>
  <c r="I6" i="1"/>
  <c r="J6" i="1" s="1"/>
  <c r="I7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I18" i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2" i="1"/>
  <c r="J2" i="1" s="1"/>
  <c r="C4" i="1"/>
  <c r="D4" i="1" s="1"/>
  <c r="C3" i="1"/>
  <c r="D3" i="1" s="1"/>
  <c r="C2" i="1"/>
  <c r="D2" i="1" s="1"/>
  <c r="T27" i="1" l="1"/>
  <c r="T9" i="1"/>
  <c r="T26" i="1"/>
  <c r="T8" i="1"/>
  <c r="T25" i="1"/>
  <c r="T23" i="1"/>
  <c r="T7" i="1"/>
  <c r="O10" i="1"/>
  <c r="T54" i="1"/>
  <c r="T38" i="1"/>
  <c r="T22" i="1"/>
  <c r="T6" i="1"/>
  <c r="T5" i="1"/>
  <c r="T4" i="1"/>
</calcChain>
</file>

<file path=xl/sharedStrings.xml><?xml version="1.0" encoding="utf-8"?>
<sst xmlns="http://schemas.openxmlformats.org/spreadsheetml/2006/main" count="13" uniqueCount="13">
  <si>
    <t>Speed Xe+</t>
  </si>
  <si>
    <t>Xe+</t>
  </si>
  <si>
    <t>Speed Xe++</t>
  </si>
  <si>
    <t>Xe++</t>
  </si>
  <si>
    <t>Speed Total Excitation</t>
  </si>
  <si>
    <t>Total Excitation</t>
  </si>
  <si>
    <t>Speed Momentum Transfer</t>
  </si>
  <si>
    <t>Momentum Transfer</t>
  </si>
  <si>
    <t>Energy Xe+</t>
  </si>
  <si>
    <t>Energy Xe++</t>
  </si>
  <si>
    <t>Energy Total Excitation</t>
  </si>
  <si>
    <t>Energy Momentum Transfer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</si>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</sst>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BD4E-1C33-4374-84A8-5C1850C2D158}">
  <dimension ref="A1:V61"/>
  <sheetViews>
    <sheetView tabSelected="1" topLeftCell="C1" zoomScaleNormal="100" workbookViewId="0">
      <selection activeCell="J11" sqref="J11"/>
    </sheetView>
  </sheetViews>
  <sheetFormatPr defaultColWidth="9.1796875" defaultRowHeight="15.5" x14ac:dyDescent="0.35"/>
  <cols>
    <col min="1" max="1" width="9.1796875" style="2"/>
    <col min="2" max="2" width="12.54296875" style="2" customWidth="1"/>
    <col min="3" max="3" width="9.1796875" style="2"/>
    <col min="4" max="4" width="9.453125" style="2" bestFit="1" customWidth="1"/>
    <col min="5" max="7" width="9.1796875" style="2"/>
    <col min="8" max="8" width="10.453125" style="2" customWidth="1"/>
    <col min="9" max="9" width="9.1796875" style="2"/>
    <col min="10" max="10" width="9.453125" style="2" bestFit="1" customWidth="1"/>
    <col min="11" max="11" width="9.1796875" style="2"/>
    <col min="12" max="13" width="10" style="2" customWidth="1"/>
    <col min="14" max="15" width="10.1796875" style="2" customWidth="1"/>
    <col min="16" max="16" width="9.1796875" style="2"/>
    <col min="17" max="18" width="11" style="2" customWidth="1"/>
    <col min="19" max="20" width="10.54296875" style="2" customWidth="1"/>
    <col min="21" max="21" width="9.1796875" style="2"/>
    <col min="22" max="22" width="10.1796875" style="2" bestFit="1" customWidth="1"/>
    <col min="23" max="16384" width="9.1796875" style="2"/>
  </cols>
  <sheetData>
    <row r="1" spans="1:22" ht="46.5" x14ac:dyDescent="0.35">
      <c r="A1" s="1" t="s">
        <v>8</v>
      </c>
      <c r="B1" s="1" t="s">
        <v>0</v>
      </c>
      <c r="D1" s="2" t="s">
        <v>1</v>
      </c>
      <c r="F1" s="1" t="s">
        <v>9</v>
      </c>
      <c r="G1" s="1"/>
      <c r="H1" s="1" t="s">
        <v>2</v>
      </c>
      <c r="J1" s="2" t="s">
        <v>3</v>
      </c>
      <c r="K1" s="2">
        <v>0.1</v>
      </c>
      <c r="L1" s="1" t="s">
        <v>10</v>
      </c>
      <c r="M1" s="1" t="s">
        <v>4</v>
      </c>
      <c r="O1" s="1" t="s">
        <v>5</v>
      </c>
      <c r="P1" s="1"/>
      <c r="Q1" s="1" t="s">
        <v>11</v>
      </c>
      <c r="R1" s="1" t="s">
        <v>6</v>
      </c>
      <c r="T1" s="1" t="s">
        <v>7</v>
      </c>
      <c r="V1" s="2" t="s">
        <v>12</v>
      </c>
    </row>
    <row r="2" spans="1:22" x14ac:dyDescent="0.35">
      <c r="A2" s="2">
        <v>12</v>
      </c>
      <c r="B2" s="2">
        <f>SQRT(2*A2*$V$3/$V$2)</f>
        <v>2065591.117977289</v>
      </c>
      <c r="C2" s="2">
        <f>0.17+0.05</f>
        <v>0.22000000000000003</v>
      </c>
      <c r="D2" s="3">
        <f>C2*$V$4</f>
        <v>2.2000000000000001E-21</v>
      </c>
      <c r="F2" s="2">
        <v>40</v>
      </c>
      <c r="G2" s="2">
        <v>0.68799999999999994</v>
      </c>
      <c r="H2" s="2">
        <f>SQRT(2*F2*$V$3/$V$2)</f>
        <v>3771236.1663282537</v>
      </c>
      <c r="I2" s="2">
        <f>G2*$K$1</f>
        <v>6.88E-2</v>
      </c>
      <c r="J2" s="3">
        <f>I2*$V$4</f>
        <v>6.88E-22</v>
      </c>
      <c r="L2" s="2">
        <v>8.32</v>
      </c>
      <c r="M2" s="2">
        <f>SQRT(2*L2*$V$3/$V$2)</f>
        <v>1719948.3196370238</v>
      </c>
      <c r="N2" s="2">
        <v>0</v>
      </c>
      <c r="O2" s="3">
        <f>N2*$V$4</f>
        <v>0</v>
      </c>
      <c r="Q2" s="2">
        <v>0</v>
      </c>
      <c r="R2" s="2">
        <f>SQRT(2*Q2*$V$3/$V$2)</f>
        <v>0</v>
      </c>
      <c r="S2" s="2">
        <v>176</v>
      </c>
      <c r="T2" s="3">
        <f>S2*$V$4</f>
        <v>1.7599999999999999E-18</v>
      </c>
      <c r="V2" s="2">
        <f>9*10^(-31)</f>
        <v>9.0000000000000008E-31</v>
      </c>
    </row>
    <row r="3" spans="1:22" x14ac:dyDescent="0.35">
      <c r="A3" s="2">
        <v>14</v>
      </c>
      <c r="B3" s="2">
        <f t="shared" ref="B3:B41" si="0">SQRT(2*A3*$V$3/$V$2)</f>
        <v>2231093.4040908683</v>
      </c>
      <c r="C3" s="2">
        <f>0.73+0.05</f>
        <v>0.78</v>
      </c>
      <c r="D3" s="3">
        <f t="shared" ref="D3:D41" si="1">C3*$V$4</f>
        <v>7.8000000000000001E-21</v>
      </c>
      <c r="F3" s="2">
        <v>45</v>
      </c>
      <c r="G3" s="2">
        <v>1.74</v>
      </c>
      <c r="H3" s="2">
        <f t="shared" ref="H3:H30" si="2">SQRT(2*F3*$V$3/$V$2)</f>
        <v>4000000</v>
      </c>
      <c r="I3" s="2">
        <f t="shared" ref="I3:I30" si="3">G3*$K$1</f>
        <v>0.17400000000000002</v>
      </c>
      <c r="J3" s="3">
        <f t="shared" ref="J3:J30" si="4">I3*$V$4</f>
        <v>1.7399999999999999E-21</v>
      </c>
      <c r="L3" s="2">
        <v>8.5</v>
      </c>
      <c r="M3" s="2">
        <f t="shared" ref="M3:M41" si="5">SQRT(2*L3*$V$3/$V$2)</f>
        <v>1738453.9747207062</v>
      </c>
      <c r="N3" s="2">
        <v>2.5999999999999999E-2</v>
      </c>
      <c r="O3" s="3">
        <f t="shared" ref="O3:O41" si="6">N3*$V$4</f>
        <v>2.5999999999999995E-22</v>
      </c>
      <c r="Q3" s="2">
        <v>0.01</v>
      </c>
      <c r="R3" s="2">
        <f t="shared" ref="R3:R61" si="7">SQRT(2*Q3*$V$3/$V$2)</f>
        <v>59628.479399994394</v>
      </c>
      <c r="S3" s="2">
        <v>116</v>
      </c>
      <c r="T3" s="3">
        <f t="shared" ref="T3:T61" si="8">S3*$V$4</f>
        <v>1.16E-18</v>
      </c>
      <c r="V3" s="2">
        <f>1.6*10^(-19)</f>
        <v>1.6000000000000002E-19</v>
      </c>
    </row>
    <row r="4" spans="1:22" x14ac:dyDescent="0.35">
      <c r="A4" s="2">
        <v>16</v>
      </c>
      <c r="B4" s="2">
        <f t="shared" si="0"/>
        <v>2385139.1759997755</v>
      </c>
      <c r="C4" s="2">
        <f>1.37+0.08</f>
        <v>1.4500000000000002</v>
      </c>
      <c r="D4" s="3">
        <f t="shared" si="1"/>
        <v>1.45E-20</v>
      </c>
      <c r="F4" s="2">
        <v>50</v>
      </c>
      <c r="G4" s="2">
        <v>2.57</v>
      </c>
      <c r="H4" s="2">
        <f t="shared" si="2"/>
        <v>4216370.2135578394</v>
      </c>
      <c r="I4" s="2">
        <f t="shared" si="3"/>
        <v>0.25700000000000001</v>
      </c>
      <c r="J4" s="3">
        <f t="shared" si="4"/>
        <v>2.5699999999999998E-21</v>
      </c>
      <c r="L4" s="2">
        <v>9</v>
      </c>
      <c r="M4" s="2">
        <f t="shared" si="5"/>
        <v>1788854.3819998316</v>
      </c>
      <c r="N4" s="2">
        <v>0.126</v>
      </c>
      <c r="O4" s="3">
        <f t="shared" si="6"/>
        <v>1.26E-21</v>
      </c>
      <c r="Q4" s="2">
        <v>0.02</v>
      </c>
      <c r="R4" s="2">
        <f t="shared" si="7"/>
        <v>84327.404271156789</v>
      </c>
      <c r="S4" s="2">
        <v>80</v>
      </c>
      <c r="T4" s="3">
        <f t="shared" si="8"/>
        <v>7.9999999999999998E-19</v>
      </c>
      <c r="V4" s="3">
        <f>10^(-20)</f>
        <v>9.9999999999999995E-21</v>
      </c>
    </row>
    <row r="5" spans="1:22" x14ac:dyDescent="0.35">
      <c r="A5" s="2">
        <v>18</v>
      </c>
      <c r="B5" s="2">
        <f t="shared" si="0"/>
        <v>2529822.1281347033</v>
      </c>
      <c r="C5" s="2">
        <v>2.0099999999999998</v>
      </c>
      <c r="D5" s="3">
        <f t="shared" si="1"/>
        <v>2.0099999999999996E-20</v>
      </c>
      <c r="F5" s="2">
        <v>60</v>
      </c>
      <c r="G5" s="2">
        <v>3.63</v>
      </c>
      <c r="H5" s="2">
        <f t="shared" si="2"/>
        <v>4618802.153517006</v>
      </c>
      <c r="I5" s="2">
        <f t="shared" si="3"/>
        <v>0.36299999999999999</v>
      </c>
      <c r="J5" s="3">
        <f t="shared" si="4"/>
        <v>3.6299999999999995E-21</v>
      </c>
      <c r="L5" s="2">
        <v>9.5</v>
      </c>
      <c r="M5" s="2">
        <f t="shared" si="5"/>
        <v>1837873.1669453629</v>
      </c>
      <c r="N5" s="2">
        <v>0.13100000000000001</v>
      </c>
      <c r="O5" s="3">
        <f t="shared" si="6"/>
        <v>1.31E-21</v>
      </c>
      <c r="Q5" s="2">
        <v>0.03</v>
      </c>
      <c r="R5" s="2">
        <f t="shared" si="7"/>
        <v>103279.55589886446</v>
      </c>
      <c r="S5" s="2">
        <v>61.3</v>
      </c>
      <c r="T5" s="3">
        <f t="shared" si="8"/>
        <v>6.1299999999999994E-19</v>
      </c>
    </row>
    <row r="6" spans="1:22" x14ac:dyDescent="0.35">
      <c r="A6" s="2">
        <v>20</v>
      </c>
      <c r="B6" s="2">
        <f t="shared" si="0"/>
        <v>2666666.6666666665</v>
      </c>
      <c r="C6" s="2">
        <v>2.4300000000000002</v>
      </c>
      <c r="D6" s="3">
        <f t="shared" si="1"/>
        <v>2.43E-20</v>
      </c>
      <c r="F6" s="2">
        <v>70</v>
      </c>
      <c r="G6" s="2">
        <v>3.86</v>
      </c>
      <c r="H6" s="2">
        <f t="shared" si="2"/>
        <v>4988876.5156985885</v>
      </c>
      <c r="I6" s="2">
        <f t="shared" si="3"/>
        <v>0.38600000000000001</v>
      </c>
      <c r="J6" s="3">
        <f t="shared" si="4"/>
        <v>3.8599999999999998E-21</v>
      </c>
      <c r="L6" s="2">
        <v>10</v>
      </c>
      <c r="M6" s="2">
        <f t="shared" si="5"/>
        <v>1885618.0831641268</v>
      </c>
      <c r="N6" s="2">
        <v>0.18</v>
      </c>
      <c r="O6" s="3">
        <f t="shared" si="6"/>
        <v>1.7999999999999999E-21</v>
      </c>
      <c r="Q6" s="2">
        <v>0.04</v>
      </c>
      <c r="R6" s="2">
        <f t="shared" si="7"/>
        <v>119256.95879998879</v>
      </c>
      <c r="S6" s="2">
        <v>48</v>
      </c>
      <c r="T6" s="3">
        <f t="shared" si="8"/>
        <v>4.7999999999999995E-19</v>
      </c>
    </row>
    <row r="7" spans="1:22" x14ac:dyDescent="0.35">
      <c r="A7" s="2">
        <v>22</v>
      </c>
      <c r="B7" s="2">
        <f t="shared" si="0"/>
        <v>2796823.5951204044</v>
      </c>
      <c r="C7" s="2">
        <v>2.9</v>
      </c>
      <c r="D7" s="3">
        <f t="shared" si="1"/>
        <v>2.9E-20</v>
      </c>
      <c r="F7" s="2">
        <v>80</v>
      </c>
      <c r="G7" s="2">
        <v>3.98</v>
      </c>
      <c r="H7" s="2">
        <f t="shared" si="2"/>
        <v>5333333.333333333</v>
      </c>
      <c r="I7" s="2">
        <f t="shared" si="3"/>
        <v>0.39800000000000002</v>
      </c>
      <c r="J7" s="3">
        <f t="shared" si="4"/>
        <v>3.9799999999999999E-21</v>
      </c>
      <c r="L7" s="2">
        <v>10.5</v>
      </c>
      <c r="M7" s="2">
        <f t="shared" si="5"/>
        <v>1932183.5661585918</v>
      </c>
      <c r="N7" s="2">
        <v>0.24</v>
      </c>
      <c r="O7" s="3">
        <f t="shared" si="6"/>
        <v>2.3999999999999999E-21</v>
      </c>
      <c r="Q7" s="2">
        <v>0.05</v>
      </c>
      <c r="R7" s="2">
        <f t="shared" si="7"/>
        <v>133333.33333333334</v>
      </c>
      <c r="S7" s="2">
        <v>39.5</v>
      </c>
      <c r="T7" s="3">
        <f t="shared" si="8"/>
        <v>3.9499999999999997E-19</v>
      </c>
    </row>
    <row r="8" spans="1:22" x14ac:dyDescent="0.35">
      <c r="A8" s="2">
        <v>24</v>
      </c>
      <c r="B8" s="2">
        <f t="shared" si="0"/>
        <v>2921186.9733608859</v>
      </c>
      <c r="C8" s="2">
        <v>3.33</v>
      </c>
      <c r="D8" s="3">
        <f t="shared" si="1"/>
        <v>3.3299999999999998E-20</v>
      </c>
      <c r="F8" s="2">
        <v>90</v>
      </c>
      <c r="G8" s="2">
        <v>4.6100000000000003</v>
      </c>
      <c r="H8" s="2">
        <f t="shared" si="2"/>
        <v>5656854.2494923798</v>
      </c>
      <c r="I8" s="2">
        <f t="shared" si="3"/>
        <v>0.46100000000000008</v>
      </c>
      <c r="J8" s="3">
        <f t="shared" si="4"/>
        <v>4.6100000000000006E-21</v>
      </c>
      <c r="L8" s="2">
        <v>11</v>
      </c>
      <c r="M8" s="2">
        <f t="shared" si="5"/>
        <v>1977652.9298921768</v>
      </c>
      <c r="N8" s="2">
        <v>0.42</v>
      </c>
      <c r="O8" s="3">
        <f t="shared" si="6"/>
        <v>4.1999999999999995E-21</v>
      </c>
      <c r="Q8" s="2">
        <v>0.06</v>
      </c>
      <c r="R8" s="2">
        <f t="shared" si="7"/>
        <v>146059.34866804432</v>
      </c>
      <c r="S8" s="2">
        <v>33.5</v>
      </c>
      <c r="T8" s="3">
        <f t="shared" si="8"/>
        <v>3.35E-19</v>
      </c>
    </row>
    <row r="9" spans="1:22" x14ac:dyDescent="0.35">
      <c r="A9" s="2">
        <v>26</v>
      </c>
      <c r="B9" s="2">
        <f t="shared" si="0"/>
        <v>3040467.8002643678</v>
      </c>
      <c r="C9" s="2">
        <v>3.62</v>
      </c>
      <c r="D9" s="3">
        <f t="shared" si="1"/>
        <v>3.6199999999999998E-20</v>
      </c>
      <c r="F9" s="2">
        <v>100</v>
      </c>
      <c r="G9" s="2">
        <v>5.03</v>
      </c>
      <c r="H9" s="2">
        <f t="shared" si="2"/>
        <v>5962847.9399994388</v>
      </c>
      <c r="I9" s="2">
        <f t="shared" si="3"/>
        <v>0.503</v>
      </c>
      <c r="J9" s="3">
        <f t="shared" si="4"/>
        <v>5.0300000000000001E-21</v>
      </c>
      <c r="L9" s="2">
        <v>11.5</v>
      </c>
      <c r="M9" s="2">
        <f t="shared" si="5"/>
        <v>2022100.1184137468</v>
      </c>
      <c r="N9" s="2">
        <v>0.62</v>
      </c>
      <c r="O9" s="3">
        <f t="shared" si="6"/>
        <v>6.1999999999999997E-21</v>
      </c>
      <c r="Q9" s="2">
        <v>0.08</v>
      </c>
      <c r="R9" s="2">
        <f t="shared" si="7"/>
        <v>168654.80854231358</v>
      </c>
      <c r="S9" s="2">
        <v>25.6</v>
      </c>
      <c r="T9" s="3">
        <f t="shared" si="8"/>
        <v>2.5599999999999998E-19</v>
      </c>
    </row>
    <row r="10" spans="1:22" x14ac:dyDescent="0.35">
      <c r="A10" s="2">
        <v>28</v>
      </c>
      <c r="B10" s="2">
        <f t="shared" si="0"/>
        <v>3155242.5509864623</v>
      </c>
      <c r="C10" s="2">
        <v>3.8</v>
      </c>
      <c r="D10" s="3">
        <f t="shared" si="1"/>
        <v>3.7999999999999998E-20</v>
      </c>
      <c r="F10" s="2">
        <v>110</v>
      </c>
      <c r="G10" s="2">
        <v>5.34</v>
      </c>
      <c r="H10" s="2">
        <f t="shared" si="2"/>
        <v>6253887.6797645725</v>
      </c>
      <c r="I10" s="2">
        <f t="shared" si="3"/>
        <v>0.53400000000000003</v>
      </c>
      <c r="J10" s="3">
        <f t="shared" si="4"/>
        <v>5.3400000000000002E-21</v>
      </c>
      <c r="L10" s="2">
        <v>12</v>
      </c>
      <c r="M10" s="2">
        <f t="shared" si="5"/>
        <v>2065591.117977289</v>
      </c>
      <c r="N10" s="2">
        <v>0.84</v>
      </c>
      <c r="O10" s="3">
        <f t="shared" si="6"/>
        <v>8.399999999999999E-21</v>
      </c>
      <c r="Q10" s="2">
        <v>0.1</v>
      </c>
      <c r="R10" s="2">
        <f t="shared" si="7"/>
        <v>188561.80831641267</v>
      </c>
      <c r="S10" s="2">
        <v>20.399999999999999</v>
      </c>
      <c r="T10" s="3">
        <f t="shared" si="8"/>
        <v>2.0399999999999998E-19</v>
      </c>
    </row>
    <row r="11" spans="1:22" x14ac:dyDescent="0.35">
      <c r="A11" s="2">
        <v>30</v>
      </c>
      <c r="B11" s="2">
        <f t="shared" si="0"/>
        <v>3265986.3237109045</v>
      </c>
      <c r="C11" s="2">
        <v>4.01</v>
      </c>
      <c r="D11" s="3">
        <f t="shared" si="1"/>
        <v>4.0099999999999995E-20</v>
      </c>
      <c r="F11" s="2">
        <v>120</v>
      </c>
      <c r="G11" s="2">
        <v>5.3</v>
      </c>
      <c r="H11" s="2">
        <f t="shared" si="2"/>
        <v>6531972.6474218089</v>
      </c>
      <c r="I11" s="2">
        <f t="shared" si="3"/>
        <v>0.53</v>
      </c>
      <c r="J11" s="3">
        <f t="shared" si="4"/>
        <v>5.2999999999999999E-21</v>
      </c>
      <c r="L11" s="2">
        <v>12.5</v>
      </c>
      <c r="M11" s="2">
        <f t="shared" si="5"/>
        <v>2108185.1067789197</v>
      </c>
      <c r="N11" s="2">
        <v>1.05</v>
      </c>
      <c r="O11" s="3">
        <f t="shared" si="6"/>
        <v>1.0499999999999999E-20</v>
      </c>
      <c r="Q11" s="2">
        <v>0.13</v>
      </c>
      <c r="R11" s="2">
        <f t="shared" si="7"/>
        <v>214993.53995462798</v>
      </c>
      <c r="S11" s="2">
        <v>15.1</v>
      </c>
      <c r="T11" s="3">
        <f t="shared" si="8"/>
        <v>1.5099999999999998E-19</v>
      </c>
    </row>
    <row r="12" spans="1:22" x14ac:dyDescent="0.35">
      <c r="A12" s="2">
        <v>35</v>
      </c>
      <c r="B12" s="2">
        <f t="shared" si="0"/>
        <v>3527668.4147527874</v>
      </c>
      <c r="C12" s="2">
        <v>4.4800000000000004</v>
      </c>
      <c r="D12" s="3">
        <f t="shared" si="1"/>
        <v>4.4800000000000001E-20</v>
      </c>
      <c r="F12" s="2">
        <v>130</v>
      </c>
      <c r="G12" s="2">
        <v>5.17</v>
      </c>
      <c r="H12" s="2">
        <f t="shared" si="2"/>
        <v>6798692.6847903803</v>
      </c>
      <c r="I12" s="2">
        <f t="shared" si="3"/>
        <v>0.51700000000000002</v>
      </c>
      <c r="J12" s="3">
        <f t="shared" si="4"/>
        <v>5.17E-21</v>
      </c>
      <c r="L12" s="2">
        <v>13</v>
      </c>
      <c r="M12" s="2">
        <f t="shared" si="5"/>
        <v>2149935.3995462796</v>
      </c>
      <c r="N12" s="2">
        <v>1.28</v>
      </c>
      <c r="O12" s="3">
        <f t="shared" si="6"/>
        <v>1.2799999999999999E-20</v>
      </c>
      <c r="Q12" s="2">
        <v>0.16</v>
      </c>
      <c r="R12" s="2">
        <f t="shared" si="7"/>
        <v>238513.91759997758</v>
      </c>
      <c r="S12" s="2">
        <v>12</v>
      </c>
      <c r="T12" s="3">
        <f t="shared" si="8"/>
        <v>1.1999999999999999E-19</v>
      </c>
    </row>
    <row r="13" spans="1:22" x14ac:dyDescent="0.35">
      <c r="A13" s="2">
        <v>40</v>
      </c>
      <c r="B13" s="2">
        <f t="shared" si="0"/>
        <v>3771236.1663282537</v>
      </c>
      <c r="C13" s="2">
        <v>4.59</v>
      </c>
      <c r="D13" s="3">
        <f t="shared" si="1"/>
        <v>4.5899999999999995E-20</v>
      </c>
      <c r="F13" s="2">
        <v>140</v>
      </c>
      <c r="G13" s="2">
        <v>3.91</v>
      </c>
      <c r="H13" s="2">
        <f t="shared" si="2"/>
        <v>7055336.8295055749</v>
      </c>
      <c r="I13" s="2">
        <f t="shared" si="3"/>
        <v>0.39100000000000001</v>
      </c>
      <c r="J13" s="3">
        <f t="shared" si="4"/>
        <v>3.91E-21</v>
      </c>
      <c r="L13" s="2">
        <v>14</v>
      </c>
      <c r="M13" s="2">
        <f t="shared" si="5"/>
        <v>2231093.4040908683</v>
      </c>
      <c r="N13" s="2">
        <v>1.7</v>
      </c>
      <c r="O13" s="3">
        <f t="shared" si="6"/>
        <v>1.6999999999999999E-20</v>
      </c>
      <c r="Q13" s="2">
        <v>0.2</v>
      </c>
      <c r="R13" s="2">
        <f t="shared" si="7"/>
        <v>266666.66666666669</v>
      </c>
      <c r="S13" s="2">
        <v>8.4</v>
      </c>
      <c r="T13" s="3">
        <f t="shared" si="8"/>
        <v>8.3999999999999996E-20</v>
      </c>
    </row>
    <row r="14" spans="1:22" x14ac:dyDescent="0.35">
      <c r="A14" s="2">
        <v>45</v>
      </c>
      <c r="B14" s="2">
        <f t="shared" si="0"/>
        <v>4000000</v>
      </c>
      <c r="C14" s="2">
        <v>4.5999999999999996</v>
      </c>
      <c r="D14" s="3">
        <f t="shared" si="1"/>
        <v>4.5999999999999992E-20</v>
      </c>
      <c r="F14" s="2">
        <v>150</v>
      </c>
      <c r="G14" s="2">
        <v>4.6500000000000004</v>
      </c>
      <c r="H14" s="2">
        <f t="shared" si="2"/>
        <v>7302967.4334022151</v>
      </c>
      <c r="I14" s="2">
        <f t="shared" si="3"/>
        <v>0.46500000000000008</v>
      </c>
      <c r="J14" s="3">
        <f t="shared" si="4"/>
        <v>4.6500000000000009E-21</v>
      </c>
      <c r="L14" s="2">
        <v>15</v>
      </c>
      <c r="M14" s="2">
        <f t="shared" si="5"/>
        <v>2309401.076758503</v>
      </c>
      <c r="N14" s="2">
        <v>2.14</v>
      </c>
      <c r="O14" s="3">
        <f t="shared" si="6"/>
        <v>2.14E-20</v>
      </c>
      <c r="Q14" s="2">
        <v>0.25</v>
      </c>
      <c r="R14" s="2">
        <f t="shared" si="7"/>
        <v>298142.39699997194</v>
      </c>
      <c r="S14" s="2">
        <v>5.35</v>
      </c>
      <c r="T14" s="3">
        <f t="shared" si="8"/>
        <v>5.3499999999999995E-20</v>
      </c>
    </row>
    <row r="15" spans="1:22" x14ac:dyDescent="0.35">
      <c r="A15" s="2">
        <v>50</v>
      </c>
      <c r="B15" s="2">
        <f t="shared" si="0"/>
        <v>4216370.2135578394</v>
      </c>
      <c r="C15" s="2">
        <v>4.58</v>
      </c>
      <c r="D15" s="3">
        <f t="shared" si="1"/>
        <v>4.5799999999999998E-20</v>
      </c>
      <c r="F15" s="2">
        <v>160</v>
      </c>
      <c r="G15" s="2">
        <v>4.3899999999999997</v>
      </c>
      <c r="H15" s="2">
        <f t="shared" si="2"/>
        <v>7542472.3326565074</v>
      </c>
      <c r="I15" s="2">
        <f t="shared" si="3"/>
        <v>0.439</v>
      </c>
      <c r="J15" s="3">
        <f t="shared" si="4"/>
        <v>4.3899999999999995E-21</v>
      </c>
      <c r="L15" s="2">
        <v>16</v>
      </c>
      <c r="M15" s="2">
        <f t="shared" si="5"/>
        <v>2385139.1759997755</v>
      </c>
      <c r="N15" s="2">
        <v>2.5499999999999998</v>
      </c>
      <c r="O15" s="3">
        <f t="shared" si="6"/>
        <v>2.5499999999999998E-20</v>
      </c>
      <c r="Q15" s="2">
        <v>0.3</v>
      </c>
      <c r="R15" s="2">
        <f t="shared" si="7"/>
        <v>326598.63237109041</v>
      </c>
      <c r="S15" s="2">
        <v>3.3</v>
      </c>
      <c r="T15" s="3">
        <f t="shared" si="8"/>
        <v>3.2999999999999994E-20</v>
      </c>
    </row>
    <row r="16" spans="1:22" x14ac:dyDescent="0.35">
      <c r="A16" s="2">
        <v>60</v>
      </c>
      <c r="B16" s="2">
        <f t="shared" si="0"/>
        <v>4618802.153517006</v>
      </c>
      <c r="C16" s="2">
        <v>4.62</v>
      </c>
      <c r="D16" s="3">
        <f t="shared" si="1"/>
        <v>4.6199999999999999E-20</v>
      </c>
      <c r="F16" s="2">
        <v>170</v>
      </c>
      <c r="G16" s="2">
        <v>4.1500000000000004</v>
      </c>
      <c r="H16" s="2">
        <f t="shared" si="2"/>
        <v>7774602.5264604008</v>
      </c>
      <c r="I16" s="2">
        <f t="shared" si="3"/>
        <v>0.41500000000000004</v>
      </c>
      <c r="J16" s="3">
        <f t="shared" si="4"/>
        <v>4.1500000000000001E-21</v>
      </c>
      <c r="L16" s="2">
        <v>18</v>
      </c>
      <c r="M16" s="2">
        <f t="shared" si="5"/>
        <v>2529822.1281347033</v>
      </c>
      <c r="N16" s="2">
        <v>3.35</v>
      </c>
      <c r="O16" s="3">
        <f t="shared" si="6"/>
        <v>3.3499999999999999E-20</v>
      </c>
      <c r="Q16" s="2">
        <v>0.4</v>
      </c>
      <c r="R16" s="2">
        <f t="shared" si="7"/>
        <v>377123.61663282535</v>
      </c>
      <c r="S16" s="2">
        <v>1.6</v>
      </c>
      <c r="T16" s="3">
        <f t="shared" si="8"/>
        <v>1.5999999999999999E-20</v>
      </c>
    </row>
    <row r="17" spans="1:20" x14ac:dyDescent="0.35">
      <c r="A17" s="2">
        <v>70</v>
      </c>
      <c r="B17" s="2">
        <f t="shared" si="0"/>
        <v>4988876.5156985885</v>
      </c>
      <c r="C17" s="2">
        <v>4.67</v>
      </c>
      <c r="D17" s="3">
        <f t="shared" si="1"/>
        <v>4.6699999999999998E-20</v>
      </c>
      <c r="F17" s="2">
        <v>180</v>
      </c>
      <c r="G17" s="2">
        <v>3.97</v>
      </c>
      <c r="H17" s="2">
        <f t="shared" si="2"/>
        <v>8000000</v>
      </c>
      <c r="I17" s="2">
        <f t="shared" si="3"/>
        <v>0.39700000000000002</v>
      </c>
      <c r="J17" s="3">
        <f t="shared" si="4"/>
        <v>3.97E-21</v>
      </c>
      <c r="L17" s="2">
        <v>20</v>
      </c>
      <c r="M17" s="2">
        <f t="shared" si="5"/>
        <v>2666666.6666666665</v>
      </c>
      <c r="N17" s="2">
        <v>3.73</v>
      </c>
      <c r="O17" s="3">
        <f t="shared" si="6"/>
        <v>3.7299999999999998E-20</v>
      </c>
      <c r="Q17" s="2">
        <v>0.5</v>
      </c>
      <c r="R17" s="2">
        <f t="shared" si="7"/>
        <v>421637.02135578392</v>
      </c>
      <c r="S17" s="2">
        <v>0.95499999999999996</v>
      </c>
      <c r="T17" s="3">
        <f t="shared" si="8"/>
        <v>9.5499999999999996E-21</v>
      </c>
    </row>
    <row r="18" spans="1:20" x14ac:dyDescent="0.35">
      <c r="A18" s="2">
        <v>80</v>
      </c>
      <c r="B18" s="2">
        <f t="shared" si="0"/>
        <v>5333333.333333333</v>
      </c>
      <c r="C18" s="2">
        <v>4.6399999999999997</v>
      </c>
      <c r="D18" s="3">
        <f t="shared" si="1"/>
        <v>4.6399999999999994E-20</v>
      </c>
      <c r="F18" s="2">
        <v>190</v>
      </c>
      <c r="G18" s="2">
        <v>3.9</v>
      </c>
      <c r="H18" s="2">
        <f t="shared" si="2"/>
        <v>8219218.670625302</v>
      </c>
      <c r="I18" s="2">
        <f t="shared" si="3"/>
        <v>0.39</v>
      </c>
      <c r="J18" s="3">
        <f t="shared" si="4"/>
        <v>3.9000000000000001E-21</v>
      </c>
      <c r="L18" s="2">
        <v>25</v>
      </c>
      <c r="M18" s="2">
        <f t="shared" si="5"/>
        <v>2981423.9699997194</v>
      </c>
      <c r="N18" s="2">
        <v>3.85</v>
      </c>
      <c r="O18" s="3">
        <f t="shared" si="6"/>
        <v>3.8499999999999996E-20</v>
      </c>
      <c r="Q18" s="2">
        <v>0.6</v>
      </c>
      <c r="R18" s="2">
        <f t="shared" si="7"/>
        <v>461880.21535170061</v>
      </c>
      <c r="S18" s="2">
        <v>0.8</v>
      </c>
      <c r="T18" s="3">
        <f t="shared" si="8"/>
        <v>7.9999999999999993E-21</v>
      </c>
    </row>
    <row r="19" spans="1:20" x14ac:dyDescent="0.35">
      <c r="A19" s="2">
        <v>90</v>
      </c>
      <c r="B19" s="2">
        <f t="shared" si="0"/>
        <v>5656854.2494923798</v>
      </c>
      <c r="C19" s="2">
        <v>4.53</v>
      </c>
      <c r="D19" s="3">
        <f t="shared" si="1"/>
        <v>4.5299999999999999E-20</v>
      </c>
      <c r="F19" s="2">
        <v>200</v>
      </c>
      <c r="G19" s="2">
        <v>3.73</v>
      </c>
      <c r="H19" s="2">
        <f t="shared" si="2"/>
        <v>8432740.4271156788</v>
      </c>
      <c r="I19" s="2">
        <f t="shared" si="3"/>
        <v>0.373</v>
      </c>
      <c r="J19" s="3">
        <f t="shared" si="4"/>
        <v>3.7299999999999998E-21</v>
      </c>
      <c r="L19" s="2">
        <v>30</v>
      </c>
      <c r="M19" s="2">
        <f t="shared" si="5"/>
        <v>3265986.3237109045</v>
      </c>
      <c r="N19" s="2">
        <v>3.57</v>
      </c>
      <c r="O19" s="3">
        <f t="shared" si="6"/>
        <v>3.5699999999999993E-20</v>
      </c>
      <c r="Q19" s="2">
        <v>0.7</v>
      </c>
      <c r="R19" s="2">
        <f t="shared" si="7"/>
        <v>498887.65156985883</v>
      </c>
      <c r="S19" s="2">
        <v>0.82</v>
      </c>
      <c r="T19" s="3">
        <f t="shared" si="8"/>
        <v>8.1999999999999984E-21</v>
      </c>
    </row>
    <row r="20" spans="1:20" x14ac:dyDescent="0.35">
      <c r="A20" s="2">
        <v>100</v>
      </c>
      <c r="B20" s="2">
        <f t="shared" si="0"/>
        <v>5962847.9399994388</v>
      </c>
      <c r="C20" s="2">
        <v>4.4400000000000004</v>
      </c>
      <c r="D20" s="3">
        <f t="shared" si="1"/>
        <v>4.4399999999999999E-20</v>
      </c>
      <c r="F20" s="2">
        <v>225</v>
      </c>
      <c r="G20" s="2">
        <v>3.45</v>
      </c>
      <c r="H20" s="2">
        <f t="shared" si="2"/>
        <v>8944271.9099991582</v>
      </c>
      <c r="I20" s="2">
        <f t="shared" si="3"/>
        <v>0.34500000000000003</v>
      </c>
      <c r="J20" s="3">
        <f t="shared" si="4"/>
        <v>3.4500000000000002E-21</v>
      </c>
      <c r="L20" s="2">
        <v>40</v>
      </c>
      <c r="M20" s="2">
        <f t="shared" si="5"/>
        <v>3771236.1663282537</v>
      </c>
      <c r="N20" s="2">
        <v>2.85</v>
      </c>
      <c r="O20" s="3">
        <f t="shared" si="6"/>
        <v>2.8500000000000001E-20</v>
      </c>
      <c r="Q20" s="2">
        <v>0.8</v>
      </c>
      <c r="R20" s="2">
        <f t="shared" si="7"/>
        <v>533333.33333333337</v>
      </c>
      <c r="S20" s="2">
        <v>1.05</v>
      </c>
      <c r="T20" s="3">
        <f t="shared" si="8"/>
        <v>1.0499999999999999E-20</v>
      </c>
    </row>
    <row r="21" spans="1:20" x14ac:dyDescent="0.35">
      <c r="A21" s="2">
        <v>110</v>
      </c>
      <c r="B21" s="2">
        <f t="shared" si="0"/>
        <v>6253887.6797645725</v>
      </c>
      <c r="C21" s="2">
        <v>4.33</v>
      </c>
      <c r="D21" s="3">
        <f t="shared" si="1"/>
        <v>4.3299999999999999E-20</v>
      </c>
      <c r="F21" s="2">
        <v>250</v>
      </c>
      <c r="G21" s="2">
        <v>3.25</v>
      </c>
      <c r="H21" s="2">
        <f t="shared" si="2"/>
        <v>9428090.415820634</v>
      </c>
      <c r="I21" s="2">
        <f t="shared" si="3"/>
        <v>0.32500000000000001</v>
      </c>
      <c r="J21" s="3">
        <f t="shared" si="4"/>
        <v>3.2499999999999999E-21</v>
      </c>
      <c r="L21" s="2">
        <v>50</v>
      </c>
      <c r="M21" s="2">
        <f t="shared" si="5"/>
        <v>4216370.2135578394</v>
      </c>
      <c r="N21" s="2">
        <v>2.4</v>
      </c>
      <c r="O21" s="3">
        <f t="shared" si="6"/>
        <v>2.3999999999999999E-20</v>
      </c>
      <c r="Q21" s="2">
        <v>1</v>
      </c>
      <c r="R21" s="2">
        <f t="shared" si="7"/>
        <v>596284.79399994388</v>
      </c>
      <c r="S21" s="2">
        <v>1.7</v>
      </c>
      <c r="T21" s="3">
        <f t="shared" si="8"/>
        <v>1.6999999999999999E-20</v>
      </c>
    </row>
    <row r="22" spans="1:20" x14ac:dyDescent="0.35">
      <c r="A22" s="2">
        <v>120</v>
      </c>
      <c r="B22" s="2">
        <f t="shared" si="0"/>
        <v>6531972.6474218089</v>
      </c>
      <c r="C22" s="2">
        <v>4.1900000000000004</v>
      </c>
      <c r="D22" s="3">
        <f t="shared" si="1"/>
        <v>4.1900000000000001E-20</v>
      </c>
      <c r="F22" s="2">
        <v>300</v>
      </c>
      <c r="G22" s="2">
        <v>3.05</v>
      </c>
      <c r="H22" s="2">
        <f t="shared" si="2"/>
        <v>10327955.589886446</v>
      </c>
      <c r="I22" s="2">
        <f t="shared" si="3"/>
        <v>0.30499999999999999</v>
      </c>
      <c r="J22" s="3">
        <f t="shared" si="4"/>
        <v>3.0499999999999997E-21</v>
      </c>
      <c r="L22" s="2">
        <v>60</v>
      </c>
      <c r="M22" s="2">
        <f t="shared" si="5"/>
        <v>4618802.153517006</v>
      </c>
      <c r="N22" s="2">
        <v>2.1</v>
      </c>
      <c r="O22" s="3">
        <f t="shared" si="6"/>
        <v>2.0999999999999999E-20</v>
      </c>
      <c r="Q22" s="2">
        <v>1.2</v>
      </c>
      <c r="R22" s="2">
        <f t="shared" si="7"/>
        <v>653197.26474218082</v>
      </c>
      <c r="S22" s="2">
        <v>2.5499999999999998</v>
      </c>
      <c r="T22" s="3">
        <f t="shared" si="8"/>
        <v>2.5499999999999998E-20</v>
      </c>
    </row>
    <row r="23" spans="1:20" x14ac:dyDescent="0.35">
      <c r="A23" s="2">
        <v>130</v>
      </c>
      <c r="B23" s="2">
        <f t="shared" si="0"/>
        <v>6798692.6847903803</v>
      </c>
      <c r="C23" s="2">
        <v>4.05</v>
      </c>
      <c r="D23" s="3">
        <f t="shared" si="1"/>
        <v>4.0499999999999996E-20</v>
      </c>
      <c r="F23" s="2">
        <v>350</v>
      </c>
      <c r="G23" s="2">
        <v>2.94</v>
      </c>
      <c r="H23" s="2">
        <f t="shared" si="2"/>
        <v>11155467.020454342</v>
      </c>
      <c r="I23" s="2">
        <f t="shared" si="3"/>
        <v>0.29399999999999998</v>
      </c>
      <c r="J23" s="3">
        <f t="shared" si="4"/>
        <v>2.9399999999999995E-21</v>
      </c>
      <c r="L23" s="2">
        <v>70</v>
      </c>
      <c r="M23" s="2">
        <f t="shared" si="5"/>
        <v>4988876.5156985885</v>
      </c>
      <c r="N23" s="2">
        <v>1.85</v>
      </c>
      <c r="O23" s="3">
        <f t="shared" si="6"/>
        <v>1.85E-20</v>
      </c>
      <c r="Q23" s="2">
        <v>1.5</v>
      </c>
      <c r="R23" s="2">
        <f t="shared" si="7"/>
        <v>730296.74334022147</v>
      </c>
      <c r="S23" s="2">
        <v>4</v>
      </c>
      <c r="T23" s="3">
        <f t="shared" si="8"/>
        <v>3.9999999999999998E-20</v>
      </c>
    </row>
    <row r="24" spans="1:20" x14ac:dyDescent="0.35">
      <c r="A24" s="2">
        <v>140</v>
      </c>
      <c r="B24" s="2">
        <f t="shared" si="0"/>
        <v>7055336.8295055749</v>
      </c>
      <c r="C24" s="2">
        <v>3.97</v>
      </c>
      <c r="D24" s="3">
        <f t="shared" si="1"/>
        <v>3.97E-20</v>
      </c>
      <c r="F24" s="2">
        <v>400</v>
      </c>
      <c r="G24" s="2">
        <v>2.67</v>
      </c>
      <c r="H24" s="2">
        <f t="shared" si="2"/>
        <v>11925695.879998878</v>
      </c>
      <c r="I24" s="2">
        <f t="shared" si="3"/>
        <v>0.26700000000000002</v>
      </c>
      <c r="J24" s="3">
        <f t="shared" si="4"/>
        <v>2.6700000000000001E-21</v>
      </c>
      <c r="L24" s="2">
        <v>80</v>
      </c>
      <c r="M24" s="2">
        <f t="shared" si="5"/>
        <v>5333333.333333333</v>
      </c>
      <c r="N24" s="2">
        <v>1.66</v>
      </c>
      <c r="O24" s="3">
        <f t="shared" si="6"/>
        <v>1.6599999999999997E-20</v>
      </c>
      <c r="Q24" s="2">
        <v>2</v>
      </c>
      <c r="R24" s="2">
        <f t="shared" si="7"/>
        <v>843274.04271156783</v>
      </c>
      <c r="S24" s="2">
        <v>7.5</v>
      </c>
      <c r="T24" s="3">
        <f t="shared" si="8"/>
        <v>7.4999999999999998E-20</v>
      </c>
    </row>
    <row r="25" spans="1:20" x14ac:dyDescent="0.35">
      <c r="A25" s="2">
        <v>150</v>
      </c>
      <c r="B25" s="2">
        <f t="shared" si="0"/>
        <v>7302967.4334022151</v>
      </c>
      <c r="C25" s="2">
        <v>3.89</v>
      </c>
      <c r="D25" s="3">
        <f t="shared" si="1"/>
        <v>3.8899999999999997E-20</v>
      </c>
      <c r="F25" s="2">
        <v>500</v>
      </c>
      <c r="G25" s="2">
        <v>2.4</v>
      </c>
      <c r="H25" s="2">
        <f t="shared" si="2"/>
        <v>13333333.333333334</v>
      </c>
      <c r="I25" s="2">
        <f t="shared" si="3"/>
        <v>0.24</v>
      </c>
      <c r="J25" s="3">
        <f t="shared" si="4"/>
        <v>2.3999999999999999E-21</v>
      </c>
      <c r="L25" s="2">
        <v>90</v>
      </c>
      <c r="M25" s="2">
        <f t="shared" si="5"/>
        <v>5656854.2494923798</v>
      </c>
      <c r="N25" s="2">
        <v>1.52</v>
      </c>
      <c r="O25" s="3">
        <f t="shared" si="6"/>
        <v>1.5199999999999999E-20</v>
      </c>
      <c r="Q25" s="2">
        <v>2.5</v>
      </c>
      <c r="R25" s="2">
        <f t="shared" si="7"/>
        <v>942809.04158206342</v>
      </c>
      <c r="S25" s="2">
        <v>11.5</v>
      </c>
      <c r="T25" s="3">
        <f t="shared" si="8"/>
        <v>1.1499999999999999E-19</v>
      </c>
    </row>
    <row r="26" spans="1:20" x14ac:dyDescent="0.35">
      <c r="A26" s="2">
        <v>160</v>
      </c>
      <c r="B26" s="2">
        <f t="shared" si="0"/>
        <v>7542472.3326565074</v>
      </c>
      <c r="C26" s="2">
        <v>3.78</v>
      </c>
      <c r="D26" s="3">
        <f t="shared" si="1"/>
        <v>3.7799999999999997E-20</v>
      </c>
      <c r="F26" s="2">
        <v>600</v>
      </c>
      <c r="G26" s="2">
        <v>2.2000000000000002</v>
      </c>
      <c r="H26" s="2">
        <f t="shared" si="2"/>
        <v>14605934.86680443</v>
      </c>
      <c r="I26" s="2">
        <f t="shared" si="3"/>
        <v>0.22000000000000003</v>
      </c>
      <c r="J26" s="3">
        <f t="shared" si="4"/>
        <v>2.2000000000000001E-21</v>
      </c>
      <c r="L26" s="2">
        <v>100</v>
      </c>
      <c r="M26" s="2">
        <f t="shared" si="5"/>
        <v>5962847.9399994388</v>
      </c>
      <c r="N26" s="2">
        <v>1.38</v>
      </c>
      <c r="O26" s="3">
        <f t="shared" si="6"/>
        <v>1.3799999999999998E-20</v>
      </c>
      <c r="Q26" s="2">
        <v>3</v>
      </c>
      <c r="R26" s="2">
        <f t="shared" si="7"/>
        <v>1032795.5589886445</v>
      </c>
      <c r="S26" s="2">
        <v>16</v>
      </c>
      <c r="T26" s="3">
        <f t="shared" si="8"/>
        <v>1.5999999999999999E-19</v>
      </c>
    </row>
    <row r="27" spans="1:20" x14ac:dyDescent="0.35">
      <c r="A27" s="2">
        <v>170</v>
      </c>
      <c r="B27" s="2">
        <f t="shared" si="0"/>
        <v>7774602.5264604008</v>
      </c>
      <c r="C27" s="2">
        <v>3.67</v>
      </c>
      <c r="D27" s="3">
        <f t="shared" si="1"/>
        <v>3.6699999999999997E-20</v>
      </c>
      <c r="F27" s="2">
        <v>700</v>
      </c>
      <c r="G27" s="2">
        <v>2.04</v>
      </c>
      <c r="H27" s="2">
        <f t="shared" si="2"/>
        <v>15776212.75493231</v>
      </c>
      <c r="I27" s="2">
        <f t="shared" si="3"/>
        <v>0.20400000000000001</v>
      </c>
      <c r="J27" s="3">
        <f t="shared" si="4"/>
        <v>2.0400000000000001E-21</v>
      </c>
      <c r="L27" s="2">
        <v>150</v>
      </c>
      <c r="M27" s="2">
        <f t="shared" si="5"/>
        <v>7302967.4334022151</v>
      </c>
      <c r="N27" s="2">
        <v>1</v>
      </c>
      <c r="O27" s="3">
        <f t="shared" si="6"/>
        <v>9.9999999999999995E-21</v>
      </c>
      <c r="Q27" s="2">
        <v>4</v>
      </c>
      <c r="R27" s="2">
        <f t="shared" si="7"/>
        <v>1192569.5879998878</v>
      </c>
      <c r="S27" s="2">
        <v>24.5</v>
      </c>
      <c r="T27" s="3">
        <f t="shared" si="8"/>
        <v>2.45E-19</v>
      </c>
    </row>
    <row r="28" spans="1:20" x14ac:dyDescent="0.35">
      <c r="A28" s="2">
        <v>180</v>
      </c>
      <c r="B28" s="2">
        <f t="shared" si="0"/>
        <v>8000000</v>
      </c>
      <c r="C28" s="2">
        <v>3.58</v>
      </c>
      <c r="D28" s="3">
        <f t="shared" si="1"/>
        <v>3.5799999999999997E-20</v>
      </c>
      <c r="F28" s="2">
        <v>800</v>
      </c>
      <c r="G28" s="2">
        <v>1.9</v>
      </c>
      <c r="H28" s="2">
        <f t="shared" si="2"/>
        <v>16865480.854231358</v>
      </c>
      <c r="I28" s="2">
        <f t="shared" si="3"/>
        <v>0.19</v>
      </c>
      <c r="J28" s="3">
        <f t="shared" si="4"/>
        <v>1.8999999999999999E-21</v>
      </c>
      <c r="L28" s="2">
        <v>200</v>
      </c>
      <c r="M28" s="2">
        <f t="shared" si="5"/>
        <v>8432740.4271156788</v>
      </c>
      <c r="N28" s="2">
        <v>0.8</v>
      </c>
      <c r="O28" s="3">
        <f t="shared" si="6"/>
        <v>7.9999999999999993E-21</v>
      </c>
      <c r="Q28" s="2">
        <v>5</v>
      </c>
      <c r="R28" s="2">
        <f t="shared" si="7"/>
        <v>1333333.3333333333</v>
      </c>
      <c r="S28" s="2">
        <v>28</v>
      </c>
      <c r="T28" s="3">
        <f t="shared" si="8"/>
        <v>2.8E-19</v>
      </c>
    </row>
    <row r="29" spans="1:20" x14ac:dyDescent="0.35">
      <c r="A29" s="2">
        <v>190</v>
      </c>
      <c r="B29" s="2">
        <f t="shared" si="0"/>
        <v>8219218.670625302</v>
      </c>
      <c r="C29" s="2">
        <v>3.51</v>
      </c>
      <c r="D29" s="3">
        <f t="shared" si="1"/>
        <v>3.5099999999999998E-20</v>
      </c>
      <c r="F29" s="2">
        <v>900</v>
      </c>
      <c r="G29" s="2">
        <v>1.75</v>
      </c>
      <c r="H29" s="2">
        <f t="shared" si="2"/>
        <v>17888543.819998316</v>
      </c>
      <c r="I29" s="2">
        <f t="shared" si="3"/>
        <v>0.17500000000000002</v>
      </c>
      <c r="J29" s="3">
        <f t="shared" si="4"/>
        <v>1.7500000000000002E-21</v>
      </c>
      <c r="L29" s="2">
        <v>300</v>
      </c>
      <c r="M29" s="2">
        <f t="shared" si="5"/>
        <v>10327955.589886446</v>
      </c>
      <c r="N29" s="2">
        <v>0.56799999999999995</v>
      </c>
      <c r="O29" s="3">
        <f t="shared" si="6"/>
        <v>5.6799999999999991E-21</v>
      </c>
      <c r="Q29" s="2">
        <v>6</v>
      </c>
      <c r="R29" s="2">
        <f t="shared" si="7"/>
        <v>1460593.4866804429</v>
      </c>
      <c r="S29" s="2">
        <v>28</v>
      </c>
      <c r="T29" s="3">
        <f t="shared" si="8"/>
        <v>2.8E-19</v>
      </c>
    </row>
    <row r="30" spans="1:20" x14ac:dyDescent="0.35">
      <c r="A30" s="2">
        <v>200</v>
      </c>
      <c r="B30" s="2">
        <f t="shared" si="0"/>
        <v>8432740.4271156788</v>
      </c>
      <c r="C30" s="2">
        <v>3.44</v>
      </c>
      <c r="D30" s="3">
        <f t="shared" si="1"/>
        <v>3.4399999999999998E-20</v>
      </c>
      <c r="F30" s="2">
        <v>1000</v>
      </c>
      <c r="G30" s="2">
        <v>1.7</v>
      </c>
      <c r="H30" s="2">
        <f t="shared" si="2"/>
        <v>18856180.831641268</v>
      </c>
      <c r="I30" s="2">
        <f t="shared" si="3"/>
        <v>0.17</v>
      </c>
      <c r="J30" s="3">
        <f t="shared" si="4"/>
        <v>1.7E-21</v>
      </c>
      <c r="L30" s="2">
        <v>400</v>
      </c>
      <c r="M30" s="2">
        <f t="shared" si="5"/>
        <v>11925695.879998878</v>
      </c>
      <c r="N30" s="2">
        <v>0.46500000000000002</v>
      </c>
      <c r="O30" s="3">
        <f t="shared" si="6"/>
        <v>4.6500000000000001E-21</v>
      </c>
      <c r="Q30" s="2">
        <v>8</v>
      </c>
      <c r="R30" s="2">
        <f t="shared" si="7"/>
        <v>1686548.0854231357</v>
      </c>
      <c r="S30" s="2">
        <v>26</v>
      </c>
      <c r="T30" s="3">
        <f t="shared" si="8"/>
        <v>2.5999999999999996E-19</v>
      </c>
    </row>
    <row r="31" spans="1:20" x14ac:dyDescent="0.35">
      <c r="A31" s="2">
        <v>225</v>
      </c>
      <c r="B31" s="2">
        <f t="shared" si="0"/>
        <v>8944271.9099991582</v>
      </c>
      <c r="C31" s="2">
        <v>3.25</v>
      </c>
      <c r="D31" s="3">
        <f t="shared" si="1"/>
        <v>3.2499999999999996E-20</v>
      </c>
      <c r="L31" s="2">
        <v>500</v>
      </c>
      <c r="M31" s="2">
        <f t="shared" si="5"/>
        <v>13333333.333333334</v>
      </c>
      <c r="N31" s="2">
        <v>0.39500000000000002</v>
      </c>
      <c r="O31" s="3">
        <f t="shared" si="6"/>
        <v>3.9500000000000002E-21</v>
      </c>
      <c r="Q31" s="2">
        <v>10</v>
      </c>
      <c r="R31" s="2">
        <f t="shared" si="7"/>
        <v>1885618.0831641268</v>
      </c>
      <c r="S31" s="2">
        <v>20</v>
      </c>
      <c r="T31" s="3">
        <f t="shared" si="8"/>
        <v>2E-19</v>
      </c>
    </row>
    <row r="32" spans="1:20" x14ac:dyDescent="0.35">
      <c r="A32" s="2">
        <v>250</v>
      </c>
      <c r="B32" s="2">
        <f t="shared" si="0"/>
        <v>9428090.415820634</v>
      </c>
      <c r="C32" s="2">
        <v>3.06</v>
      </c>
      <c r="D32" s="3">
        <f t="shared" si="1"/>
        <v>3.0599999999999999E-20</v>
      </c>
      <c r="L32" s="2">
        <v>600</v>
      </c>
      <c r="M32" s="2">
        <f t="shared" si="5"/>
        <v>14605934.86680443</v>
      </c>
      <c r="N32" s="2">
        <v>0.34399999999999997</v>
      </c>
      <c r="O32" s="3">
        <f t="shared" si="6"/>
        <v>3.4399999999999995E-21</v>
      </c>
      <c r="Q32" s="2">
        <v>12</v>
      </c>
      <c r="R32" s="2">
        <f t="shared" si="7"/>
        <v>2065591.117977289</v>
      </c>
      <c r="S32" s="2">
        <v>13.5</v>
      </c>
      <c r="T32" s="3">
        <f t="shared" si="8"/>
        <v>1.35E-19</v>
      </c>
    </row>
    <row r="33" spans="1:20" x14ac:dyDescent="0.35">
      <c r="A33" s="2">
        <v>300</v>
      </c>
      <c r="B33" s="2">
        <f t="shared" si="0"/>
        <v>10327955.589886446</v>
      </c>
      <c r="C33" s="2">
        <v>2.77</v>
      </c>
      <c r="D33" s="3">
        <f t="shared" si="1"/>
        <v>2.7699999999999999E-20</v>
      </c>
      <c r="L33" s="2">
        <v>700</v>
      </c>
      <c r="M33" s="2">
        <f t="shared" si="5"/>
        <v>15776212.75493231</v>
      </c>
      <c r="N33" s="2">
        <v>0.30199999999999999</v>
      </c>
      <c r="O33" s="3">
        <f t="shared" si="6"/>
        <v>3.0199999999999997E-21</v>
      </c>
      <c r="Q33" s="2">
        <v>15</v>
      </c>
      <c r="R33" s="2">
        <f t="shared" si="7"/>
        <v>2309401.076758503</v>
      </c>
      <c r="S33" s="2">
        <v>9.5</v>
      </c>
      <c r="T33" s="3">
        <f t="shared" si="8"/>
        <v>9.5E-20</v>
      </c>
    </row>
    <row r="34" spans="1:20" x14ac:dyDescent="0.35">
      <c r="A34" s="2">
        <v>350</v>
      </c>
      <c r="B34" s="2">
        <f t="shared" si="0"/>
        <v>11155467.020454342</v>
      </c>
      <c r="C34" s="2">
        <v>2.48</v>
      </c>
      <c r="D34" s="3">
        <f t="shared" si="1"/>
        <v>2.4799999999999999E-20</v>
      </c>
      <c r="L34" s="2">
        <v>800</v>
      </c>
      <c r="M34" s="2">
        <f t="shared" si="5"/>
        <v>16865480.854231358</v>
      </c>
      <c r="N34" s="2">
        <v>0.27700000000000002</v>
      </c>
      <c r="O34" s="3">
        <f t="shared" si="6"/>
        <v>2.77E-21</v>
      </c>
      <c r="Q34" s="2">
        <v>20</v>
      </c>
      <c r="R34" s="2">
        <f t="shared" si="7"/>
        <v>2666666.6666666665</v>
      </c>
      <c r="S34" s="2">
        <v>7</v>
      </c>
      <c r="T34" s="3">
        <f t="shared" si="8"/>
        <v>7.0000000000000001E-20</v>
      </c>
    </row>
    <row r="35" spans="1:20" x14ac:dyDescent="0.35">
      <c r="A35" s="2">
        <v>400</v>
      </c>
      <c r="B35" s="2">
        <f t="shared" si="0"/>
        <v>11925695.879998878</v>
      </c>
      <c r="C35" s="2">
        <v>2.31</v>
      </c>
      <c r="D35" s="3">
        <f t="shared" si="1"/>
        <v>2.31E-20</v>
      </c>
      <c r="L35" s="2">
        <v>900</v>
      </c>
      <c r="M35" s="2">
        <f t="shared" si="5"/>
        <v>17888543.819998316</v>
      </c>
      <c r="N35" s="2">
        <v>0.252</v>
      </c>
      <c r="O35" s="3">
        <f t="shared" si="6"/>
        <v>2.52E-21</v>
      </c>
      <c r="Q35" s="2">
        <v>25</v>
      </c>
      <c r="R35" s="2">
        <f t="shared" si="7"/>
        <v>2981423.9699997194</v>
      </c>
      <c r="S35" s="2">
        <v>5.9</v>
      </c>
      <c r="T35" s="3">
        <f t="shared" si="8"/>
        <v>5.8999999999999997E-20</v>
      </c>
    </row>
    <row r="36" spans="1:20" x14ac:dyDescent="0.35">
      <c r="A36" s="2">
        <v>500</v>
      </c>
      <c r="B36" s="2">
        <f t="shared" si="0"/>
        <v>13333333.333333334</v>
      </c>
      <c r="C36" s="2">
        <v>2</v>
      </c>
      <c r="D36" s="3">
        <f t="shared" si="1"/>
        <v>1.9999999999999999E-20</v>
      </c>
      <c r="L36" s="2">
        <v>1000</v>
      </c>
      <c r="M36" s="2">
        <f t="shared" si="5"/>
        <v>18856180.831641268</v>
      </c>
      <c r="N36" s="2">
        <v>0.23100000000000001</v>
      </c>
      <c r="O36" s="3">
        <f t="shared" si="6"/>
        <v>2.3099999999999999E-21</v>
      </c>
      <c r="Q36" s="2">
        <v>30</v>
      </c>
      <c r="R36" s="2">
        <f t="shared" si="7"/>
        <v>3265986.3237109045</v>
      </c>
      <c r="S36" s="2">
        <v>5.0999999999999996</v>
      </c>
      <c r="T36" s="3">
        <f t="shared" si="8"/>
        <v>5.0999999999999996E-20</v>
      </c>
    </row>
    <row r="37" spans="1:20" x14ac:dyDescent="0.35">
      <c r="A37" s="2">
        <v>600</v>
      </c>
      <c r="B37" s="2">
        <f t="shared" si="0"/>
        <v>14605934.86680443</v>
      </c>
      <c r="C37" s="2">
        <v>1.75</v>
      </c>
      <c r="D37" s="3">
        <f t="shared" si="1"/>
        <v>1.75E-20</v>
      </c>
      <c r="L37" s="2">
        <v>2000</v>
      </c>
      <c r="M37" s="2">
        <f t="shared" si="5"/>
        <v>26666666.666666668</v>
      </c>
      <c r="N37" s="2">
        <v>0.13200000000000001</v>
      </c>
      <c r="O37" s="3">
        <f t="shared" si="6"/>
        <v>1.32E-21</v>
      </c>
      <c r="Q37" s="2">
        <v>40</v>
      </c>
      <c r="R37" s="2">
        <f t="shared" si="7"/>
        <v>3771236.1663282537</v>
      </c>
      <c r="S37" s="2">
        <v>4.2</v>
      </c>
      <c r="T37" s="3">
        <f t="shared" si="8"/>
        <v>4.1999999999999998E-20</v>
      </c>
    </row>
    <row r="38" spans="1:20" x14ac:dyDescent="0.35">
      <c r="A38" s="2">
        <v>700</v>
      </c>
      <c r="B38" s="2">
        <f t="shared" si="0"/>
        <v>15776212.75493231</v>
      </c>
      <c r="C38" s="2">
        <v>1.58</v>
      </c>
      <c r="D38" s="3">
        <f t="shared" si="1"/>
        <v>1.5800000000000001E-20</v>
      </c>
      <c r="L38" s="2">
        <v>3000</v>
      </c>
      <c r="M38" s="2">
        <f t="shared" si="5"/>
        <v>32659863.237109039</v>
      </c>
      <c r="N38" s="2">
        <v>9.5000000000000001E-2</v>
      </c>
      <c r="O38" s="3">
        <f t="shared" si="6"/>
        <v>9.4999999999999994E-22</v>
      </c>
      <c r="Q38" s="2">
        <v>50</v>
      </c>
      <c r="R38" s="2">
        <f t="shared" si="7"/>
        <v>4216370.2135578394</v>
      </c>
      <c r="S38" s="2">
        <v>3.6</v>
      </c>
      <c r="T38" s="3">
        <f t="shared" si="8"/>
        <v>3.5999999999999997E-20</v>
      </c>
    </row>
    <row r="39" spans="1:20" x14ac:dyDescent="0.35">
      <c r="A39" s="2">
        <v>800</v>
      </c>
      <c r="B39" s="2">
        <f t="shared" si="0"/>
        <v>16865480.854231358</v>
      </c>
      <c r="C39" s="2">
        <v>1.42</v>
      </c>
      <c r="D39" s="3">
        <f t="shared" si="1"/>
        <v>1.4199999999999999E-20</v>
      </c>
      <c r="L39" s="2">
        <v>4000</v>
      </c>
      <c r="M39" s="2">
        <f t="shared" si="5"/>
        <v>37712361.663282536</v>
      </c>
      <c r="N39" s="2">
        <v>7.4999999999999997E-2</v>
      </c>
      <c r="O39" s="3">
        <f t="shared" si="6"/>
        <v>7.4999999999999998E-22</v>
      </c>
      <c r="Q39" s="2">
        <v>60</v>
      </c>
      <c r="R39" s="2">
        <f t="shared" si="7"/>
        <v>4618802.153517006</v>
      </c>
      <c r="S39" s="2">
        <v>3.2</v>
      </c>
      <c r="T39" s="3">
        <f t="shared" si="8"/>
        <v>3.1999999999999997E-20</v>
      </c>
    </row>
    <row r="40" spans="1:20" x14ac:dyDescent="0.35">
      <c r="A40" s="2">
        <v>900</v>
      </c>
      <c r="B40" s="2">
        <f t="shared" si="0"/>
        <v>17888543.819998316</v>
      </c>
      <c r="C40" s="2">
        <v>1.32</v>
      </c>
      <c r="D40" s="3">
        <f t="shared" si="1"/>
        <v>1.32E-20</v>
      </c>
      <c r="L40" s="2">
        <v>5000</v>
      </c>
      <c r="M40" s="2">
        <f t="shared" si="5"/>
        <v>42163702.135578394</v>
      </c>
      <c r="N40" s="2">
        <v>6.3E-2</v>
      </c>
      <c r="O40" s="3">
        <f t="shared" si="6"/>
        <v>6.3E-22</v>
      </c>
      <c r="Q40" s="2">
        <v>80</v>
      </c>
      <c r="R40" s="2">
        <f t="shared" si="7"/>
        <v>5333333.333333333</v>
      </c>
      <c r="S40" s="2">
        <v>2.7</v>
      </c>
      <c r="T40" s="3">
        <f t="shared" si="8"/>
        <v>2.7E-20</v>
      </c>
    </row>
    <row r="41" spans="1:20" x14ac:dyDescent="0.35">
      <c r="A41" s="2">
        <v>1000</v>
      </c>
      <c r="B41" s="2">
        <f t="shared" si="0"/>
        <v>18856180.831641268</v>
      </c>
      <c r="C41" s="2">
        <v>1.21</v>
      </c>
      <c r="D41" s="3">
        <f t="shared" si="1"/>
        <v>1.2099999999999998E-20</v>
      </c>
      <c r="L41" s="2">
        <v>10000</v>
      </c>
      <c r="M41" s="2">
        <f t="shared" si="5"/>
        <v>59628479.399994388</v>
      </c>
      <c r="N41" s="2">
        <v>3.5999999999999997E-2</v>
      </c>
      <c r="O41" s="3">
        <f t="shared" si="6"/>
        <v>3.5999999999999993E-22</v>
      </c>
      <c r="Q41" s="2">
        <v>100</v>
      </c>
      <c r="R41" s="2">
        <f t="shared" si="7"/>
        <v>5962847.9399994388</v>
      </c>
      <c r="S41" s="2">
        <v>2.4</v>
      </c>
      <c r="T41" s="3">
        <f t="shared" si="8"/>
        <v>2.3999999999999999E-20</v>
      </c>
    </row>
    <row r="42" spans="1:20" x14ac:dyDescent="0.35">
      <c r="Q42" s="2">
        <v>120</v>
      </c>
      <c r="R42" s="2">
        <f t="shared" si="7"/>
        <v>6531972.6474218089</v>
      </c>
      <c r="S42" s="2">
        <v>2.15</v>
      </c>
      <c r="T42" s="3">
        <f t="shared" si="8"/>
        <v>2.1499999999999998E-20</v>
      </c>
    </row>
    <row r="43" spans="1:20" x14ac:dyDescent="0.35">
      <c r="Q43" s="2">
        <v>150</v>
      </c>
      <c r="R43" s="2">
        <f t="shared" si="7"/>
        <v>7302967.4334022151</v>
      </c>
      <c r="S43" s="2">
        <v>1.9</v>
      </c>
      <c r="T43" s="3">
        <f t="shared" si="8"/>
        <v>1.8999999999999999E-20</v>
      </c>
    </row>
    <row r="44" spans="1:20" x14ac:dyDescent="0.35">
      <c r="Q44" s="2">
        <v>200</v>
      </c>
      <c r="R44" s="2">
        <f t="shared" si="7"/>
        <v>8432740.4271156788</v>
      </c>
      <c r="S44" s="2">
        <v>1.65</v>
      </c>
      <c r="T44" s="3">
        <f t="shared" si="8"/>
        <v>1.6499999999999997E-20</v>
      </c>
    </row>
    <row r="45" spans="1:20" x14ac:dyDescent="0.35">
      <c r="Q45" s="2">
        <v>250</v>
      </c>
      <c r="R45" s="2">
        <f t="shared" si="7"/>
        <v>9428090.415820634</v>
      </c>
      <c r="S45" s="2">
        <v>1.45</v>
      </c>
      <c r="T45" s="3">
        <f t="shared" si="8"/>
        <v>1.45E-20</v>
      </c>
    </row>
    <row r="46" spans="1:20" x14ac:dyDescent="0.35">
      <c r="Q46" s="2">
        <v>300</v>
      </c>
      <c r="R46" s="2">
        <f t="shared" si="7"/>
        <v>10327955.589886446</v>
      </c>
      <c r="S46" s="2">
        <v>1.3</v>
      </c>
      <c r="T46" s="3">
        <f t="shared" si="8"/>
        <v>1.3E-20</v>
      </c>
    </row>
    <row r="47" spans="1:20" x14ac:dyDescent="0.35">
      <c r="Q47" s="2">
        <v>400</v>
      </c>
      <c r="R47" s="2">
        <f t="shared" si="7"/>
        <v>11925695.879998878</v>
      </c>
      <c r="S47" s="2">
        <v>1.08</v>
      </c>
      <c r="T47" s="3">
        <f t="shared" si="8"/>
        <v>1.08E-20</v>
      </c>
    </row>
    <row r="48" spans="1:20" x14ac:dyDescent="0.35">
      <c r="Q48" s="2">
        <v>500</v>
      </c>
      <c r="R48" s="2">
        <f t="shared" si="7"/>
        <v>13333333.333333334</v>
      </c>
      <c r="S48" s="2">
        <v>0.94</v>
      </c>
      <c r="T48" s="3">
        <f t="shared" si="8"/>
        <v>9.3999999999999991E-21</v>
      </c>
    </row>
    <row r="49" spans="17:20" x14ac:dyDescent="0.35">
      <c r="Q49" s="2">
        <v>600</v>
      </c>
      <c r="R49" s="2">
        <f t="shared" si="7"/>
        <v>14605934.86680443</v>
      </c>
      <c r="S49" s="2">
        <v>0.83</v>
      </c>
      <c r="T49" s="3">
        <f t="shared" si="8"/>
        <v>8.2999999999999987E-21</v>
      </c>
    </row>
    <row r="50" spans="17:20" x14ac:dyDescent="0.35">
      <c r="Q50" s="2">
        <v>800</v>
      </c>
      <c r="R50" s="2">
        <f t="shared" si="7"/>
        <v>16865480.854231358</v>
      </c>
      <c r="S50" s="2">
        <v>0.7</v>
      </c>
      <c r="T50" s="3">
        <f t="shared" si="8"/>
        <v>6.9999999999999992E-21</v>
      </c>
    </row>
    <row r="51" spans="17:20" x14ac:dyDescent="0.35">
      <c r="Q51" s="2">
        <v>1000</v>
      </c>
      <c r="R51" s="2">
        <f t="shared" si="7"/>
        <v>18856180.831641268</v>
      </c>
      <c r="S51" s="2">
        <v>0.57999999999999996</v>
      </c>
      <c r="T51" s="3">
        <f t="shared" si="8"/>
        <v>5.7999999999999992E-21</v>
      </c>
    </row>
    <row r="52" spans="17:20" x14ac:dyDescent="0.35">
      <c r="Q52" s="2">
        <v>1200</v>
      </c>
      <c r="R52" s="2">
        <f t="shared" si="7"/>
        <v>20655911.179772891</v>
      </c>
      <c r="S52" s="2">
        <v>0.48</v>
      </c>
      <c r="T52" s="3">
        <f t="shared" si="8"/>
        <v>4.7999999999999999E-21</v>
      </c>
    </row>
    <row r="53" spans="17:20" x14ac:dyDescent="0.35">
      <c r="Q53" s="2">
        <v>1500</v>
      </c>
      <c r="R53" s="2">
        <f t="shared" si="7"/>
        <v>23094010.767585032</v>
      </c>
      <c r="S53" s="2">
        <v>0.37</v>
      </c>
      <c r="T53" s="3">
        <f t="shared" si="8"/>
        <v>3.6999999999999995E-21</v>
      </c>
    </row>
    <row r="54" spans="17:20" x14ac:dyDescent="0.35">
      <c r="Q54" s="2">
        <v>2000</v>
      </c>
      <c r="R54" s="2">
        <f t="shared" si="7"/>
        <v>26666666.666666668</v>
      </c>
      <c r="S54" s="2">
        <v>0.255</v>
      </c>
      <c r="T54" s="3">
        <f t="shared" si="8"/>
        <v>2.55E-21</v>
      </c>
    </row>
    <row r="55" spans="17:20" x14ac:dyDescent="0.35">
      <c r="Q55" s="2">
        <v>2500</v>
      </c>
      <c r="R55" s="2">
        <f t="shared" si="7"/>
        <v>29814239.699997194</v>
      </c>
      <c r="S55" s="2">
        <v>0.19</v>
      </c>
      <c r="T55" s="3">
        <f t="shared" si="8"/>
        <v>1.8999999999999999E-21</v>
      </c>
    </row>
    <row r="56" spans="17:20" x14ac:dyDescent="0.35">
      <c r="Q56" s="2">
        <v>3000</v>
      </c>
      <c r="R56" s="2">
        <f t="shared" si="7"/>
        <v>32659863.237109039</v>
      </c>
      <c r="S56" s="2">
        <v>0.15</v>
      </c>
      <c r="T56" s="3">
        <f t="shared" si="8"/>
        <v>1.5E-21</v>
      </c>
    </row>
    <row r="57" spans="17:20" x14ac:dyDescent="0.35">
      <c r="Q57" s="2">
        <v>4000</v>
      </c>
      <c r="R57" s="2">
        <f t="shared" si="7"/>
        <v>37712361.663282536</v>
      </c>
      <c r="S57" s="2">
        <v>0.10299999999999999</v>
      </c>
      <c r="T57" s="3">
        <f t="shared" si="8"/>
        <v>1.0299999999999999E-21</v>
      </c>
    </row>
    <row r="58" spans="17:20" x14ac:dyDescent="0.35">
      <c r="Q58" s="2">
        <v>5000</v>
      </c>
      <c r="R58" s="2">
        <f t="shared" si="7"/>
        <v>42163702.135578394</v>
      </c>
      <c r="S58" s="2">
        <v>7.4999999999999997E-2</v>
      </c>
      <c r="T58" s="3">
        <f t="shared" si="8"/>
        <v>7.4999999999999998E-22</v>
      </c>
    </row>
    <row r="59" spans="17:20" x14ac:dyDescent="0.35">
      <c r="Q59" s="2">
        <v>6000</v>
      </c>
      <c r="R59" s="2">
        <f t="shared" si="7"/>
        <v>46188021.535170063</v>
      </c>
      <c r="S59" s="2">
        <v>5.7000000000000002E-2</v>
      </c>
      <c r="T59" s="3">
        <f t="shared" si="8"/>
        <v>5.6999999999999996E-22</v>
      </c>
    </row>
    <row r="60" spans="17:20" x14ac:dyDescent="0.35">
      <c r="Q60" s="2">
        <v>8000</v>
      </c>
      <c r="R60" s="2">
        <f t="shared" si="7"/>
        <v>53333333.333333336</v>
      </c>
      <c r="S60" s="2">
        <v>3.7999999999999999E-2</v>
      </c>
      <c r="T60" s="3">
        <f t="shared" si="8"/>
        <v>3.7999999999999998E-22</v>
      </c>
    </row>
    <row r="61" spans="17:20" x14ac:dyDescent="0.35">
      <c r="Q61" s="2">
        <v>10000</v>
      </c>
      <c r="R61" s="2">
        <f t="shared" si="7"/>
        <v>59628479.399994388</v>
      </c>
      <c r="S61" s="2">
        <v>2.7E-2</v>
      </c>
      <c r="T61" s="3">
        <f t="shared" si="8"/>
        <v>2.6999999999999997E-22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Khoi</dc:creator>
  <cp:lastModifiedBy>Nguyen, Khoi</cp:lastModifiedBy>
  <dcterms:created xsi:type="dcterms:W3CDTF">2024-09-22T18:48:53Z</dcterms:created>
  <dcterms:modified xsi:type="dcterms:W3CDTF">2024-12-17T17:29:27Z</dcterms:modified>
</cp:coreProperties>
</file>